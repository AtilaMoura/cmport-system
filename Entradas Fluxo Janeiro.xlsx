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portseguranca-my.sharepoint.com/personal/financeiro_cmport_com_br/Documents/Área de Trabalho/"/>
    </mc:Choice>
  </mc:AlternateContent>
  <xr:revisionPtr revIDLastSave="0" documentId="8_{BB54DB79-1683-4B8D-945E-15EE00583FF5}" xr6:coauthVersionLast="47" xr6:coauthVersionMax="47" xr10:uidLastSave="{00000000-0000-0000-0000-000000000000}"/>
  <bookViews>
    <workbookView xWindow="-120" yWindow="-120" windowWidth="29040" windowHeight="15840" xr2:uid="{DAA30FB5-6360-46B5-965C-556585B9843B}"/>
  </bookViews>
  <sheets>
    <sheet name="Planilha1" sheetId="1" r:id="rId1"/>
  </sheets>
  <externalReferences>
    <externalReference r:id="rId2"/>
  </externalReferences>
  <definedNames>
    <definedName name="ro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4" i="1" l="1"/>
  <c r="K123" i="1"/>
  <c r="B123" i="1"/>
  <c r="A123" i="1"/>
  <c r="K122" i="1"/>
  <c r="B122" i="1"/>
  <c r="A122" i="1"/>
  <c r="K121" i="1"/>
  <c r="B121" i="1"/>
  <c r="A121" i="1"/>
  <c r="K120" i="1"/>
  <c r="B120" i="1"/>
  <c r="A120" i="1"/>
  <c r="K119" i="1"/>
  <c r="B119" i="1"/>
  <c r="A119" i="1"/>
  <c r="K118" i="1"/>
  <c r="B118" i="1"/>
  <c r="A118" i="1"/>
  <c r="K117" i="1"/>
  <c r="B117" i="1"/>
  <c r="A117" i="1"/>
  <c r="K116" i="1"/>
  <c r="B116" i="1"/>
  <c r="A116" i="1"/>
  <c r="K115" i="1"/>
  <c r="B115" i="1"/>
  <c r="A115" i="1"/>
  <c r="K114" i="1"/>
  <c r="B114" i="1"/>
  <c r="A114" i="1"/>
  <c r="K113" i="1"/>
  <c r="B113" i="1"/>
  <c r="A113" i="1"/>
  <c r="K112" i="1"/>
  <c r="B112" i="1"/>
  <c r="A112" i="1"/>
  <c r="K111" i="1"/>
  <c r="B111" i="1"/>
  <c r="A111" i="1"/>
  <c r="K110" i="1"/>
  <c r="B110" i="1"/>
  <c r="A110" i="1"/>
  <c r="K109" i="1"/>
  <c r="B109" i="1"/>
  <c r="A109" i="1"/>
  <c r="K108" i="1"/>
  <c r="B108" i="1"/>
  <c r="A108" i="1"/>
  <c r="K107" i="1"/>
  <c r="B107" i="1"/>
  <c r="A107" i="1"/>
  <c r="K106" i="1"/>
  <c r="B106" i="1"/>
  <c r="A106" i="1"/>
  <c r="K105" i="1"/>
  <c r="B105" i="1"/>
  <c r="A105" i="1"/>
  <c r="K104" i="1"/>
  <c r="B104" i="1"/>
  <c r="A104" i="1"/>
  <c r="K103" i="1"/>
  <c r="B103" i="1"/>
  <c r="A103" i="1"/>
  <c r="K102" i="1"/>
  <c r="B102" i="1"/>
  <c r="A102" i="1"/>
  <c r="K101" i="1"/>
  <c r="B101" i="1"/>
  <c r="A101" i="1"/>
  <c r="K100" i="1"/>
  <c r="B100" i="1"/>
  <c r="A100" i="1"/>
  <c r="K99" i="1"/>
  <c r="B99" i="1"/>
  <c r="A99" i="1"/>
  <c r="K98" i="1"/>
  <c r="B98" i="1"/>
  <c r="A98" i="1"/>
  <c r="K97" i="1"/>
  <c r="B97" i="1"/>
  <c r="A97" i="1"/>
  <c r="K96" i="1"/>
  <c r="B96" i="1"/>
  <c r="A96" i="1"/>
  <c r="K95" i="1"/>
  <c r="B95" i="1"/>
  <c r="A95" i="1"/>
  <c r="K94" i="1"/>
  <c r="B94" i="1"/>
  <c r="A94" i="1"/>
  <c r="K93" i="1"/>
  <c r="B93" i="1"/>
  <c r="A93" i="1"/>
  <c r="K92" i="1"/>
  <c r="B92" i="1"/>
  <c r="A92" i="1"/>
  <c r="K91" i="1"/>
  <c r="B91" i="1"/>
  <c r="A91" i="1"/>
  <c r="K90" i="1"/>
  <c r="B90" i="1"/>
  <c r="A90" i="1"/>
  <c r="K89" i="1"/>
  <c r="B89" i="1"/>
  <c r="A89" i="1"/>
  <c r="K88" i="1"/>
  <c r="B88" i="1"/>
  <c r="A88" i="1"/>
  <c r="K87" i="1"/>
  <c r="B87" i="1"/>
  <c r="A87" i="1"/>
  <c r="K86" i="1"/>
  <c r="B86" i="1"/>
  <c r="A86" i="1"/>
  <c r="K85" i="1"/>
  <c r="B85" i="1"/>
  <c r="A85" i="1"/>
  <c r="K84" i="1"/>
  <c r="B84" i="1"/>
  <c r="A84" i="1"/>
  <c r="K83" i="1"/>
  <c r="B83" i="1"/>
  <c r="A83" i="1"/>
  <c r="K82" i="1"/>
  <c r="B82" i="1"/>
  <c r="A82" i="1"/>
  <c r="K81" i="1"/>
  <c r="B81" i="1"/>
  <c r="A81" i="1"/>
  <c r="K80" i="1"/>
  <c r="B80" i="1"/>
  <c r="A80" i="1"/>
  <c r="K79" i="1"/>
  <c r="B79" i="1"/>
  <c r="A79" i="1"/>
  <c r="K78" i="1"/>
  <c r="B78" i="1"/>
  <c r="A78" i="1"/>
  <c r="K77" i="1"/>
  <c r="B77" i="1"/>
  <c r="A77" i="1"/>
  <c r="K76" i="1"/>
  <c r="B76" i="1"/>
  <c r="A76" i="1"/>
  <c r="K75" i="1"/>
  <c r="B75" i="1"/>
  <c r="A75" i="1"/>
  <c r="K74" i="1"/>
  <c r="B74" i="1"/>
  <c r="A74" i="1"/>
  <c r="K73" i="1"/>
  <c r="B73" i="1"/>
  <c r="A73" i="1"/>
  <c r="K72" i="1"/>
  <c r="B72" i="1"/>
  <c r="A72" i="1"/>
  <c r="K71" i="1"/>
  <c r="B71" i="1"/>
  <c r="A71" i="1"/>
  <c r="K70" i="1"/>
  <c r="B70" i="1"/>
  <c r="A70" i="1"/>
  <c r="K69" i="1"/>
  <c r="B69" i="1"/>
  <c r="A69" i="1"/>
  <c r="K68" i="1"/>
  <c r="B68" i="1"/>
  <c r="A68" i="1"/>
  <c r="K67" i="1"/>
  <c r="B67" i="1"/>
  <c r="A67" i="1"/>
  <c r="K66" i="1"/>
  <c r="B66" i="1"/>
  <c r="A66" i="1"/>
  <c r="K65" i="1"/>
  <c r="B65" i="1"/>
  <c r="A65" i="1"/>
  <c r="K64" i="1"/>
  <c r="B64" i="1"/>
  <c r="A64" i="1"/>
  <c r="K63" i="1"/>
  <c r="B63" i="1"/>
  <c r="A63" i="1"/>
  <c r="K62" i="1"/>
  <c r="B62" i="1"/>
  <c r="A62" i="1"/>
  <c r="K61" i="1"/>
  <c r="B61" i="1"/>
  <c r="A61" i="1"/>
  <c r="K60" i="1"/>
  <c r="B60" i="1"/>
  <c r="A60" i="1"/>
  <c r="K59" i="1"/>
  <c r="B59" i="1"/>
  <c r="A59" i="1"/>
  <c r="K58" i="1"/>
  <c r="B58" i="1"/>
  <c r="A58" i="1"/>
  <c r="K57" i="1"/>
  <c r="B57" i="1"/>
  <c r="A57" i="1"/>
  <c r="K56" i="1"/>
  <c r="B56" i="1"/>
  <c r="A56" i="1"/>
  <c r="K55" i="1"/>
  <c r="B55" i="1"/>
  <c r="A55" i="1"/>
  <c r="K54" i="1"/>
  <c r="B54" i="1"/>
  <c r="A54" i="1"/>
  <c r="I50" i="1"/>
  <c r="K49" i="1"/>
  <c r="B49" i="1"/>
  <c r="A49" i="1"/>
  <c r="K48" i="1"/>
  <c r="B48" i="1"/>
  <c r="A48" i="1"/>
  <c r="K47" i="1"/>
  <c r="B47" i="1"/>
  <c r="A47" i="1"/>
  <c r="K46" i="1"/>
  <c r="B46" i="1"/>
  <c r="A46" i="1"/>
  <c r="K45" i="1"/>
  <c r="B45" i="1"/>
  <c r="A45" i="1"/>
  <c r="K44" i="1"/>
  <c r="B44" i="1"/>
  <c r="A44" i="1"/>
  <c r="K43" i="1"/>
  <c r="B43" i="1"/>
  <c r="A43" i="1"/>
  <c r="K42" i="1"/>
  <c r="B42" i="1"/>
  <c r="A42" i="1"/>
  <c r="K41" i="1"/>
  <c r="B41" i="1"/>
  <c r="A41" i="1"/>
  <c r="K40" i="1"/>
  <c r="B40" i="1"/>
  <c r="A40" i="1"/>
  <c r="K39" i="1"/>
  <c r="B39" i="1"/>
  <c r="A39" i="1"/>
  <c r="K38" i="1"/>
  <c r="B38" i="1"/>
  <c r="A38" i="1"/>
  <c r="K37" i="1"/>
  <c r="B37" i="1"/>
  <c r="A37" i="1"/>
  <c r="K36" i="1"/>
  <c r="B36" i="1"/>
  <c r="A36" i="1"/>
  <c r="K35" i="1"/>
  <c r="B35" i="1"/>
  <c r="A35" i="1"/>
  <c r="K34" i="1"/>
  <c r="B34" i="1"/>
  <c r="A34" i="1"/>
  <c r="K33" i="1"/>
  <c r="B33" i="1"/>
  <c r="A33" i="1"/>
  <c r="K32" i="1"/>
  <c r="B32" i="1"/>
  <c r="A32" i="1"/>
  <c r="K31" i="1"/>
  <c r="B31" i="1"/>
  <c r="A31" i="1"/>
  <c r="K30" i="1"/>
  <c r="B30" i="1"/>
  <c r="A30" i="1"/>
  <c r="K29" i="1"/>
  <c r="B29" i="1"/>
  <c r="A29" i="1"/>
  <c r="K28" i="1"/>
  <c r="B28" i="1"/>
  <c r="A28" i="1"/>
  <c r="K27" i="1"/>
  <c r="B27" i="1"/>
  <c r="A27" i="1"/>
  <c r="K26" i="1"/>
  <c r="B26" i="1"/>
  <c r="A26" i="1"/>
  <c r="K25" i="1"/>
  <c r="B25" i="1"/>
  <c r="A25" i="1"/>
  <c r="K24" i="1"/>
  <c r="B24" i="1"/>
  <c r="A24" i="1"/>
  <c r="K23" i="1"/>
  <c r="B23" i="1"/>
  <c r="A23" i="1"/>
  <c r="K22" i="1"/>
  <c r="B22" i="1"/>
  <c r="A22" i="1"/>
  <c r="K21" i="1"/>
  <c r="B21" i="1"/>
  <c r="A21" i="1"/>
  <c r="K20" i="1"/>
  <c r="B20" i="1"/>
  <c r="A20" i="1"/>
  <c r="K19" i="1"/>
  <c r="B19" i="1"/>
  <c r="A19" i="1"/>
  <c r="K18" i="1"/>
  <c r="B18" i="1"/>
  <c r="A18" i="1"/>
  <c r="K17" i="1"/>
  <c r="B17" i="1"/>
  <c r="A17" i="1"/>
  <c r="K16" i="1"/>
  <c r="B16" i="1"/>
  <c r="A16" i="1"/>
  <c r="K15" i="1"/>
  <c r="B15" i="1"/>
  <c r="A15" i="1"/>
  <c r="K14" i="1"/>
  <c r="B14" i="1"/>
  <c r="A14" i="1"/>
  <c r="K13" i="1"/>
  <c r="B13" i="1"/>
  <c r="A13" i="1"/>
  <c r="K12" i="1"/>
  <c r="B12" i="1"/>
  <c r="A12" i="1"/>
  <c r="K11" i="1"/>
  <c r="B11" i="1"/>
  <c r="A11" i="1"/>
  <c r="K10" i="1"/>
  <c r="B10" i="1"/>
  <c r="A10" i="1"/>
  <c r="K9" i="1"/>
  <c r="B9" i="1"/>
  <c r="A9" i="1"/>
  <c r="K8" i="1"/>
  <c r="B8" i="1"/>
  <c r="A8" i="1"/>
  <c r="K7" i="1"/>
  <c r="B7" i="1"/>
  <c r="A7" i="1"/>
  <c r="K6" i="1"/>
  <c r="B6" i="1"/>
  <c r="A6" i="1"/>
  <c r="K5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2" i="1" s="1"/>
  <c r="E43" i="1" s="1"/>
  <c r="E44" i="1" s="1"/>
  <c r="E45" i="1" s="1"/>
  <c r="E46" i="1" s="1"/>
  <c r="E47" i="1" s="1"/>
  <c r="E48" i="1" s="1"/>
  <c r="E49" i="1" s="1"/>
  <c r="B5" i="1"/>
  <c r="A5" i="1"/>
  <c r="K4" i="1"/>
  <c r="B4" i="1"/>
  <c r="A4" i="1"/>
</calcChain>
</file>

<file path=xl/sharedStrings.xml><?xml version="1.0" encoding="utf-8"?>
<sst xmlns="http://schemas.openxmlformats.org/spreadsheetml/2006/main" count="462" uniqueCount="178">
  <si>
    <t>.</t>
  </si>
  <si>
    <t xml:space="preserve">CONDOMÍNIO </t>
  </si>
  <si>
    <t>Categoria</t>
  </si>
  <si>
    <t>NF</t>
  </si>
  <si>
    <t>PARCELA</t>
  </si>
  <si>
    <t xml:space="preserve">PAGTO </t>
  </si>
  <si>
    <t xml:space="preserve">VENCTO </t>
  </si>
  <si>
    <t xml:space="preserve">PAGOS </t>
  </si>
  <si>
    <t xml:space="preserve">VALOR </t>
  </si>
  <si>
    <t>CONTRATOS DE MANUTENÇÃO MENSAL</t>
  </si>
  <si>
    <t>Assumpita Sica</t>
  </si>
  <si>
    <t>Contrato</t>
  </si>
  <si>
    <t>01/01</t>
  </si>
  <si>
    <t>Alvorada</t>
  </si>
  <si>
    <t>Bahamas</t>
  </si>
  <si>
    <t>Bonaire</t>
  </si>
  <si>
    <t>Cap Martinique</t>
  </si>
  <si>
    <t>Cezario Motta</t>
  </si>
  <si>
    <t xml:space="preserve">Cintia </t>
  </si>
  <si>
    <t xml:space="preserve">Costa Brava </t>
  </si>
  <si>
    <t>Cube Vila Ipojuca</t>
  </si>
  <si>
    <t xml:space="preserve">Ipiranga </t>
  </si>
  <si>
    <t>Lucerna</t>
  </si>
  <si>
    <t>Odete</t>
  </si>
  <si>
    <t>Olivais</t>
  </si>
  <si>
    <t>Paço de Hygienopolis</t>
  </si>
  <si>
    <t>Penthouse</t>
  </si>
  <si>
    <t>Piazza Fontana (Poste)</t>
  </si>
  <si>
    <t>Raposo Tavares (Poste)</t>
  </si>
  <si>
    <t>Sbios</t>
  </si>
  <si>
    <t>Sintonia Perdizes</t>
  </si>
  <si>
    <t>The Crystal Houser</t>
  </si>
  <si>
    <t xml:space="preserve">Ville Courchevel </t>
  </si>
  <si>
    <t>Angra dos Reis</t>
  </si>
  <si>
    <t>Concor</t>
  </si>
  <si>
    <t>Maison Saint Etienne</t>
  </si>
  <si>
    <t>Park</t>
  </si>
  <si>
    <t xml:space="preserve">Piazza Fontana </t>
  </si>
  <si>
    <t>Raposo Tavares</t>
  </si>
  <si>
    <t>Vermont</t>
  </si>
  <si>
    <t>Via Del Corso</t>
  </si>
  <si>
    <t xml:space="preserve">Helbor Lof Evolution </t>
  </si>
  <si>
    <t>Ibirapuera Park</t>
  </si>
  <si>
    <t xml:space="preserve">Jardim Buenos Aires </t>
  </si>
  <si>
    <t>Park Avenue</t>
  </si>
  <si>
    <t>Reynolds</t>
  </si>
  <si>
    <t xml:space="preserve">Fortezza Di Ferrara </t>
  </si>
  <si>
    <t xml:space="preserve">Jose Antonio Alpiovezza </t>
  </si>
  <si>
    <t>Jussara</t>
  </si>
  <si>
    <t>Jussara - Mês de Dezembro</t>
  </si>
  <si>
    <t>7399 M</t>
  </si>
  <si>
    <t xml:space="preserve">Le Monde </t>
  </si>
  <si>
    <t xml:space="preserve">Macunaima </t>
  </si>
  <si>
    <t>Margaux</t>
  </si>
  <si>
    <t>Mont Blanc</t>
  </si>
  <si>
    <t xml:space="preserve">Verbena </t>
  </si>
  <si>
    <t>Araucarias</t>
  </si>
  <si>
    <t xml:space="preserve">Cullinan </t>
  </si>
  <si>
    <t xml:space="preserve">Olga </t>
  </si>
  <si>
    <t>ASSISTÊNCIAS MÊS JANEIRO - 2026</t>
  </si>
  <si>
    <t>ASSISTENCIAS MENSAL</t>
  </si>
  <si>
    <t>Assistencia</t>
  </si>
  <si>
    <t>1185 A</t>
  </si>
  <si>
    <t>10/10</t>
  </si>
  <si>
    <t>Costa Brava</t>
  </si>
  <si>
    <t>1267 A</t>
  </si>
  <si>
    <t>07/10</t>
  </si>
  <si>
    <t>Mariangela Texeira</t>
  </si>
  <si>
    <t>1288 A</t>
  </si>
  <si>
    <t>06/10</t>
  </si>
  <si>
    <t>1317 A</t>
  </si>
  <si>
    <t>05/10</t>
  </si>
  <si>
    <t>1337 A</t>
  </si>
  <si>
    <t>04/05</t>
  </si>
  <si>
    <t>Cullian</t>
  </si>
  <si>
    <t>1338 A</t>
  </si>
  <si>
    <t>04/06</t>
  </si>
  <si>
    <t>Maison Saint Etiene</t>
  </si>
  <si>
    <t>1343 A</t>
  </si>
  <si>
    <t>04/04</t>
  </si>
  <si>
    <t>Helbor Loft Evolution</t>
  </si>
  <si>
    <t>1351 A</t>
  </si>
  <si>
    <t>1363 A</t>
  </si>
  <si>
    <t>1375 A</t>
  </si>
  <si>
    <t>03/10</t>
  </si>
  <si>
    <t>1380 A</t>
  </si>
  <si>
    <t>03/05</t>
  </si>
  <si>
    <t>1382 A</t>
  </si>
  <si>
    <t>Jardim Buenos Aires</t>
  </si>
  <si>
    <t>1384 A</t>
  </si>
  <si>
    <t>03/03</t>
  </si>
  <si>
    <t>Grevillle Flamboyate</t>
  </si>
  <si>
    <t>1387 A</t>
  </si>
  <si>
    <t>Villar Paraiso</t>
  </si>
  <si>
    <t>1394 A</t>
  </si>
  <si>
    <t>The Cristal</t>
  </si>
  <si>
    <t>1401 A</t>
  </si>
  <si>
    <t>03/04</t>
  </si>
  <si>
    <t>Paços Hygeanopolis</t>
  </si>
  <si>
    <t>1405 A</t>
  </si>
  <si>
    <t>02/03</t>
  </si>
  <si>
    <t>1409 A</t>
  </si>
  <si>
    <t>Porto Alegre</t>
  </si>
  <si>
    <t>1412 A</t>
  </si>
  <si>
    <t>Ipiranga</t>
  </si>
  <si>
    <t>1413 A</t>
  </si>
  <si>
    <t>1416 A</t>
  </si>
  <si>
    <t>02/02</t>
  </si>
  <si>
    <t xml:space="preserve">Helbor Loft </t>
  </si>
  <si>
    <t>1417 A</t>
  </si>
  <si>
    <t>7351 A</t>
  </si>
  <si>
    <t>7519 A</t>
  </si>
  <si>
    <t>01/04</t>
  </si>
  <si>
    <t>Five Stars</t>
  </si>
  <si>
    <t>7512 A</t>
  </si>
  <si>
    <t>Castel Mantova</t>
  </si>
  <si>
    <t>7514 A</t>
  </si>
  <si>
    <t>Green Gold</t>
  </si>
  <si>
    <t>7515 A</t>
  </si>
  <si>
    <t>San Mariano</t>
  </si>
  <si>
    <t>7516 A</t>
  </si>
  <si>
    <t>California Park</t>
  </si>
  <si>
    <t>7517 A</t>
  </si>
  <si>
    <t>Praças São Paulo</t>
  </si>
  <si>
    <t>7518 A</t>
  </si>
  <si>
    <t>Lorrenzetti</t>
  </si>
  <si>
    <t>7522 A</t>
  </si>
  <si>
    <t>*</t>
  </si>
  <si>
    <t>7523 A</t>
  </si>
  <si>
    <t>Fabiola</t>
  </si>
  <si>
    <t>7524 A</t>
  </si>
  <si>
    <t>São Vicente</t>
  </si>
  <si>
    <t>7525 A</t>
  </si>
  <si>
    <t>Zueno (Tapajos)</t>
  </si>
  <si>
    <t>7526 A</t>
  </si>
  <si>
    <t>7527 A</t>
  </si>
  <si>
    <t>1411.7407 A</t>
  </si>
  <si>
    <t>01/03</t>
  </si>
  <si>
    <t>Bambino</t>
  </si>
  <si>
    <t>1415.7411 A</t>
  </si>
  <si>
    <t>000.000.0004 A</t>
  </si>
  <si>
    <t>000.000.0005 A</t>
  </si>
  <si>
    <t>000.000.0006 A</t>
  </si>
  <si>
    <t>000.000.0007 A</t>
  </si>
  <si>
    <t>01/02</t>
  </si>
  <si>
    <t>000.000.0009 A</t>
  </si>
  <si>
    <t>000.000.0010 A</t>
  </si>
  <si>
    <t>000.000.0011 A</t>
  </si>
  <si>
    <t>000.000.0012 A</t>
  </si>
  <si>
    <t>000.000.0013 A</t>
  </si>
  <si>
    <t>Cintia</t>
  </si>
  <si>
    <t>000.000.0014 A</t>
  </si>
  <si>
    <t>000.000.0015 A</t>
  </si>
  <si>
    <t>000.000.0016 A</t>
  </si>
  <si>
    <t>000.000.0017 A</t>
  </si>
  <si>
    <t>000.000.0018 A</t>
  </si>
  <si>
    <t>01/05</t>
  </si>
  <si>
    <t>000.000.0019 A</t>
  </si>
  <si>
    <t>000.000.0020 A</t>
  </si>
  <si>
    <t>Dulce</t>
  </si>
  <si>
    <t>Recibo</t>
  </si>
  <si>
    <t>Helbor Lof Evolution (Rodrigo ap. 605)</t>
  </si>
  <si>
    <t>BBARE 02/06</t>
  </si>
  <si>
    <t>02/06</t>
  </si>
  <si>
    <t>BBARE 03/06</t>
  </si>
  <si>
    <t>03/06</t>
  </si>
  <si>
    <t>BBARE todos</t>
  </si>
  <si>
    <t xml:space="preserve">Edgar </t>
  </si>
  <si>
    <t>Mario Cantoni</t>
  </si>
  <si>
    <t>Eraseg</t>
  </si>
  <si>
    <t>Durval</t>
  </si>
  <si>
    <t xml:space="preserve">Adelson </t>
  </si>
  <si>
    <t>Ludmila</t>
  </si>
  <si>
    <t>Alessandra</t>
  </si>
  <si>
    <t>Luis</t>
  </si>
  <si>
    <t>Rafaela</t>
  </si>
  <si>
    <t>Chistopher</t>
  </si>
  <si>
    <t>MANUTENÇÕES MÊS JANEIRO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</si>
</sst>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16]d\-mmm\-yy;@"/>
    <numFmt numFmtId="166" formatCode="dd/mmm/yyyy"/>
    <numFmt numFmtId="167" formatCode="#,##0.00_ ;[Red]\-#,##0.00\ "/>
    <numFmt numFmtId="168" formatCode="0&quot; M&quot;"/>
  </numFmts>
  <fonts count="18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24"/>
      <name val="Times New Roman"/>
      <family val="1"/>
    </font>
    <font>
      <sz val="10"/>
      <name val="Times New Roman"/>
      <family val="1"/>
    </font>
    <font>
      <sz val="9"/>
      <color theme="0"/>
      <name val="Calibri"/>
      <family val="2"/>
      <scheme val="minor"/>
    </font>
    <font>
      <sz val="10"/>
      <name val="Calibri"/>
      <family val="2"/>
      <scheme val="minor"/>
    </font>
    <font>
      <sz val="12"/>
      <color indexed="10"/>
      <name val="Calibri Light"/>
      <family val="1"/>
      <scheme val="major"/>
    </font>
    <font>
      <b/>
      <sz val="12"/>
      <name val="Times New Roman"/>
      <family val="1"/>
    </font>
    <font>
      <sz val="9"/>
      <name val="Calibri"/>
      <family val="2"/>
      <scheme val="minor"/>
    </font>
    <font>
      <sz val="12"/>
      <color indexed="10"/>
      <name val="Times New Roman"/>
      <family val="1"/>
    </font>
    <font>
      <sz val="12"/>
      <name val="Times New Roman"/>
      <family val="1"/>
    </font>
    <font>
      <b/>
      <sz val="12"/>
      <color theme="6" tint="-0.499984740745262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  <font>
      <sz val="12"/>
      <color indexed="10"/>
      <name val="Calibri"/>
      <family val="2"/>
      <scheme val="minor"/>
    </font>
    <font>
      <b/>
      <sz val="12"/>
      <color theme="5"/>
      <name val="Times New Roman"/>
      <family val="1"/>
    </font>
    <font>
      <b/>
      <sz val="14"/>
      <color theme="1" tint="0.14999847407452621"/>
      <name val="Times New Roman"/>
      <family val="1"/>
    </font>
    <font>
      <sz val="14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2" fillId="0" borderId="0"/>
  </cellStyleXfs>
  <cellXfs count="168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164" fontId="4" fillId="3" borderId="4" xfId="2" applyFont="1" applyFill="1" applyBorder="1"/>
    <xf numFmtId="0" fontId="5" fillId="0" borderId="0" xfId="1" applyFont="1"/>
    <xf numFmtId="164" fontId="6" fillId="4" borderId="1" xfId="2" applyFont="1" applyFill="1" applyBorder="1"/>
    <xf numFmtId="164" fontId="6" fillId="4" borderId="2" xfId="2" applyFont="1" applyFill="1" applyBorder="1"/>
    <xf numFmtId="0" fontId="7" fillId="4" borderId="2" xfId="2" applyNumberFormat="1" applyFont="1" applyFill="1" applyBorder="1" applyAlignment="1"/>
    <xf numFmtId="0" fontId="7" fillId="4" borderId="2" xfId="2" applyNumberFormat="1" applyFont="1" applyFill="1" applyBorder="1" applyAlignment="1">
      <alignment horizontal="center"/>
    </xf>
    <xf numFmtId="49" fontId="7" fillId="4" borderId="2" xfId="2" applyNumberFormat="1" applyFont="1" applyFill="1" applyBorder="1" applyAlignment="1">
      <alignment horizontal="center"/>
    </xf>
    <xf numFmtId="165" fontId="7" fillId="4" borderId="2" xfId="2" applyNumberFormat="1" applyFont="1" applyFill="1" applyBorder="1" applyAlignment="1">
      <alignment horizontal="center"/>
    </xf>
    <xf numFmtId="166" fontId="7" fillId="4" borderId="2" xfId="2" applyNumberFormat="1" applyFont="1" applyFill="1" applyBorder="1" applyAlignment="1">
      <alignment horizontal="center"/>
    </xf>
    <xf numFmtId="40" fontId="7" fillId="4" borderId="2" xfId="2" applyNumberFormat="1" applyFont="1" applyFill="1" applyBorder="1" applyAlignment="1">
      <alignment horizontal="center"/>
    </xf>
    <xf numFmtId="167" fontId="7" fillId="4" borderId="3" xfId="2" applyNumberFormat="1" applyFont="1" applyFill="1" applyBorder="1" applyAlignment="1">
      <alignment horizontal="center"/>
    </xf>
    <xf numFmtId="0" fontId="8" fillId="3" borderId="5" xfId="1" applyFont="1" applyFill="1" applyBorder="1"/>
    <xf numFmtId="164" fontId="6" fillId="4" borderId="6" xfId="2" applyFont="1" applyFill="1" applyBorder="1"/>
    <xf numFmtId="164" fontId="6" fillId="4" borderId="7" xfId="2" applyFont="1" applyFill="1" applyBorder="1"/>
    <xf numFmtId="0" fontId="7" fillId="4" borderId="7" xfId="2" applyNumberFormat="1" applyFont="1" applyFill="1" applyBorder="1" applyAlignment="1"/>
    <xf numFmtId="0" fontId="7" fillId="4" borderId="7" xfId="2" applyNumberFormat="1" applyFont="1" applyFill="1" applyBorder="1" applyAlignment="1">
      <alignment horizontal="center"/>
    </xf>
    <xf numFmtId="49" fontId="7" fillId="4" borderId="7" xfId="2" applyNumberFormat="1" applyFont="1" applyFill="1" applyBorder="1" applyAlignment="1">
      <alignment horizontal="center"/>
    </xf>
    <xf numFmtId="165" fontId="7" fillId="4" borderId="7" xfId="2" applyNumberFormat="1" applyFont="1" applyFill="1" applyBorder="1" applyAlignment="1">
      <alignment horizontal="center"/>
    </xf>
    <xf numFmtId="166" fontId="7" fillId="4" borderId="7" xfId="2" applyNumberFormat="1" applyFont="1" applyFill="1" applyBorder="1" applyAlignment="1">
      <alignment horizontal="center"/>
    </xf>
    <xf numFmtId="40" fontId="7" fillId="4" borderId="7" xfId="2" applyNumberFormat="1" applyFont="1" applyFill="1" applyBorder="1" applyAlignment="1"/>
    <xf numFmtId="167" fontId="7" fillId="4" borderId="8" xfId="2" applyNumberFormat="1" applyFont="1" applyFill="1" applyBorder="1" applyAlignment="1"/>
    <xf numFmtId="0" fontId="5" fillId="5" borderId="0" xfId="1" applyFont="1" applyFill="1"/>
    <xf numFmtId="164" fontId="9" fillId="6" borderId="9" xfId="2" applyFont="1" applyFill="1" applyBorder="1"/>
    <xf numFmtId="164" fontId="9" fillId="6" borderId="10" xfId="2" applyFont="1" applyFill="1" applyBorder="1"/>
    <xf numFmtId="0" fontId="10" fillId="6" borderId="10" xfId="0" applyFont="1" applyFill="1" applyBorder="1"/>
    <xf numFmtId="0" fontId="10" fillId="6" borderId="10" xfId="2" applyNumberFormat="1" applyFont="1" applyFill="1" applyBorder="1" applyAlignment="1"/>
    <xf numFmtId="168" fontId="10" fillId="6" borderId="10" xfId="2" applyNumberFormat="1" applyFont="1" applyFill="1" applyBorder="1" applyAlignment="1">
      <alignment horizontal="center"/>
    </xf>
    <xf numFmtId="49" fontId="10" fillId="6" borderId="10" xfId="2" applyNumberFormat="1" applyFont="1" applyFill="1" applyBorder="1" applyAlignment="1">
      <alignment horizontal="center"/>
    </xf>
    <xf numFmtId="165" fontId="11" fillId="6" borderId="10" xfId="2" applyNumberFormat="1" applyFont="1" applyFill="1" applyBorder="1" applyAlignment="1">
      <alignment horizontal="center"/>
    </xf>
    <xf numFmtId="16" fontId="10" fillId="6" borderId="10" xfId="3" quotePrefix="1" applyNumberFormat="1" applyFont="1" applyFill="1" applyBorder="1" applyAlignment="1">
      <alignment horizontal="center"/>
    </xf>
    <xf numFmtId="40" fontId="10" fillId="6" borderId="10" xfId="2" applyNumberFormat="1" applyFont="1" applyFill="1" applyBorder="1" applyAlignment="1"/>
    <xf numFmtId="166" fontId="10" fillId="6" borderId="10" xfId="2" applyNumberFormat="1" applyFont="1" applyFill="1" applyBorder="1" applyAlignment="1">
      <alignment horizontal="center"/>
    </xf>
    <xf numFmtId="167" fontId="10" fillId="6" borderId="11" xfId="2" applyNumberFormat="1" applyFont="1" applyFill="1" applyBorder="1" applyAlignment="1"/>
    <xf numFmtId="0" fontId="8" fillId="3" borderId="12" xfId="1" applyFont="1" applyFill="1" applyBorder="1"/>
    <xf numFmtId="164" fontId="9" fillId="6" borderId="13" xfId="2" applyFont="1" applyFill="1" applyBorder="1"/>
    <xf numFmtId="164" fontId="9" fillId="6" borderId="14" xfId="2" applyFont="1" applyFill="1" applyBorder="1"/>
    <xf numFmtId="0" fontId="10" fillId="6" borderId="14" xfId="0" applyFont="1" applyFill="1" applyBorder="1"/>
    <xf numFmtId="0" fontId="10" fillId="6" borderId="14" xfId="2" applyNumberFormat="1" applyFont="1" applyFill="1" applyBorder="1" applyAlignment="1"/>
    <xf numFmtId="168" fontId="10" fillId="6" borderId="14" xfId="2" applyNumberFormat="1" applyFont="1" applyFill="1" applyBorder="1" applyAlignment="1">
      <alignment horizontal="center"/>
    </xf>
    <xf numFmtId="49" fontId="10" fillId="6" borderId="14" xfId="2" applyNumberFormat="1" applyFont="1" applyFill="1" applyBorder="1" applyAlignment="1">
      <alignment horizontal="center"/>
    </xf>
    <xf numFmtId="16" fontId="10" fillId="6" borderId="14" xfId="3" quotePrefix="1" applyNumberFormat="1" applyFont="1" applyFill="1" applyBorder="1" applyAlignment="1">
      <alignment horizontal="center"/>
    </xf>
    <xf numFmtId="40" fontId="10" fillId="6" borderId="14" xfId="2" applyNumberFormat="1" applyFont="1" applyFill="1" applyBorder="1" applyAlignment="1"/>
    <xf numFmtId="166" fontId="10" fillId="6" borderId="14" xfId="2" applyNumberFormat="1" applyFont="1" applyFill="1" applyBorder="1" applyAlignment="1">
      <alignment horizontal="center"/>
    </xf>
    <xf numFmtId="167" fontId="10" fillId="6" borderId="15" xfId="2" applyNumberFormat="1" applyFont="1" applyFill="1" applyBorder="1" applyAlignment="1"/>
    <xf numFmtId="0" fontId="10" fillId="6" borderId="14" xfId="3" applyFont="1" applyFill="1" applyBorder="1"/>
    <xf numFmtId="40" fontId="10" fillId="6" borderId="14" xfId="1" applyNumberFormat="1" applyFont="1" applyFill="1" applyBorder="1"/>
    <xf numFmtId="0" fontId="10" fillId="6" borderId="14" xfId="1" applyFont="1" applyFill="1" applyBorder="1" applyAlignment="1">
      <alignment horizontal="center"/>
    </xf>
    <xf numFmtId="167" fontId="10" fillId="6" borderId="15" xfId="1" applyNumberFormat="1" applyFont="1" applyFill="1" applyBorder="1"/>
    <xf numFmtId="0" fontId="5" fillId="3" borderId="0" xfId="1" applyFont="1" applyFill="1"/>
    <xf numFmtId="0" fontId="5" fillId="7" borderId="0" xfId="1" applyFont="1" applyFill="1"/>
    <xf numFmtId="165" fontId="11" fillId="6" borderId="14" xfId="2" applyNumberFormat="1" applyFont="1" applyFill="1" applyBorder="1" applyAlignment="1">
      <alignment horizontal="center"/>
    </xf>
    <xf numFmtId="0" fontId="5" fillId="4" borderId="0" xfId="1" applyFont="1" applyFill="1"/>
    <xf numFmtId="164" fontId="13" fillId="6" borderId="13" xfId="2" applyFont="1" applyFill="1" applyBorder="1"/>
    <xf numFmtId="164" fontId="13" fillId="6" borderId="14" xfId="2" applyFont="1" applyFill="1" applyBorder="1"/>
    <xf numFmtId="0" fontId="5" fillId="8" borderId="0" xfId="1" applyFont="1" applyFill="1"/>
    <xf numFmtId="0" fontId="5" fillId="9" borderId="0" xfId="1" applyFont="1" applyFill="1"/>
    <xf numFmtId="16" fontId="10" fillId="6" borderId="14" xfId="3" applyNumberFormat="1" applyFont="1" applyFill="1" applyBorder="1" applyAlignment="1">
      <alignment horizontal="center"/>
    </xf>
    <xf numFmtId="164" fontId="9" fillId="8" borderId="13" xfId="2" applyFont="1" applyFill="1" applyBorder="1"/>
    <xf numFmtId="164" fontId="9" fillId="8" borderId="14" xfId="2" applyFont="1" applyFill="1" applyBorder="1"/>
    <xf numFmtId="0" fontId="10" fillId="8" borderId="14" xfId="3" applyFont="1" applyFill="1" applyBorder="1"/>
    <xf numFmtId="0" fontId="10" fillId="8" borderId="14" xfId="2" applyNumberFormat="1" applyFont="1" applyFill="1" applyBorder="1" applyAlignment="1"/>
    <xf numFmtId="168" fontId="10" fillId="8" borderId="14" xfId="2" applyNumberFormat="1" applyFont="1" applyFill="1" applyBorder="1" applyAlignment="1">
      <alignment horizontal="center"/>
    </xf>
    <xf numFmtId="49" fontId="10" fillId="8" borderId="14" xfId="2" applyNumberFormat="1" applyFont="1" applyFill="1" applyBorder="1" applyAlignment="1">
      <alignment horizontal="center"/>
    </xf>
    <xf numFmtId="165" fontId="11" fillId="8" borderId="14" xfId="2" applyNumberFormat="1" applyFont="1" applyFill="1" applyBorder="1" applyAlignment="1">
      <alignment horizontal="center"/>
    </xf>
    <xf numFmtId="16" fontId="10" fillId="8" borderId="14" xfId="3" applyNumberFormat="1" applyFont="1" applyFill="1" applyBorder="1" applyAlignment="1">
      <alignment horizontal="center"/>
    </xf>
    <xf numFmtId="40" fontId="10" fillId="8" borderId="14" xfId="2" applyNumberFormat="1" applyFont="1" applyFill="1" applyBorder="1" applyAlignment="1"/>
    <xf numFmtId="166" fontId="10" fillId="8" borderId="14" xfId="2" applyNumberFormat="1" applyFont="1" applyFill="1" applyBorder="1" applyAlignment="1">
      <alignment horizontal="center"/>
    </xf>
    <xf numFmtId="167" fontId="10" fillId="8" borderId="15" xfId="2" applyNumberFormat="1" applyFont="1" applyFill="1" applyBorder="1" applyAlignment="1"/>
    <xf numFmtId="164" fontId="9" fillId="6" borderId="16" xfId="2" applyFont="1" applyFill="1" applyBorder="1"/>
    <xf numFmtId="164" fontId="9" fillId="6" borderId="17" xfId="2" applyFont="1" applyFill="1" applyBorder="1"/>
    <xf numFmtId="0" fontId="10" fillId="6" borderId="17" xfId="3" applyFont="1" applyFill="1" applyBorder="1"/>
    <xf numFmtId="0" fontId="10" fillId="6" borderId="17" xfId="2" applyNumberFormat="1" applyFont="1" applyFill="1" applyBorder="1" applyAlignment="1"/>
    <xf numFmtId="168" fontId="10" fillId="6" borderId="17" xfId="2" applyNumberFormat="1" applyFont="1" applyFill="1" applyBorder="1" applyAlignment="1">
      <alignment horizontal="center"/>
    </xf>
    <xf numFmtId="49" fontId="10" fillId="6" borderId="17" xfId="2" applyNumberFormat="1" applyFont="1" applyFill="1" applyBorder="1" applyAlignment="1">
      <alignment horizontal="center"/>
    </xf>
    <xf numFmtId="165" fontId="11" fillId="6" borderId="17" xfId="2" applyNumberFormat="1" applyFont="1" applyFill="1" applyBorder="1" applyAlignment="1">
      <alignment horizontal="center"/>
    </xf>
    <xf numFmtId="16" fontId="10" fillId="6" borderId="17" xfId="3" applyNumberFormat="1" applyFont="1" applyFill="1" applyBorder="1" applyAlignment="1">
      <alignment horizontal="center"/>
    </xf>
    <xf numFmtId="40" fontId="10" fillId="6" borderId="17" xfId="2" applyNumberFormat="1" applyFont="1" applyFill="1" applyBorder="1" applyAlignment="1"/>
    <xf numFmtId="166" fontId="10" fillId="6" borderId="17" xfId="2" applyNumberFormat="1" applyFont="1" applyFill="1" applyBorder="1" applyAlignment="1">
      <alignment horizontal="center"/>
    </xf>
    <xf numFmtId="167" fontId="10" fillId="6" borderId="18" xfId="2" applyNumberFormat="1" applyFont="1" applyFill="1" applyBorder="1" applyAlignment="1"/>
    <xf numFmtId="164" fontId="14" fillId="3" borderId="19" xfId="2" applyFont="1" applyFill="1" applyBorder="1"/>
    <xf numFmtId="164" fontId="14" fillId="3" borderId="0" xfId="2" applyFont="1" applyFill="1" applyBorder="1"/>
    <xf numFmtId="0" fontId="10" fillId="3" borderId="0" xfId="3" applyFont="1" applyFill="1"/>
    <xf numFmtId="0" fontId="10" fillId="3" borderId="0" xfId="1" applyFont="1" applyFill="1"/>
    <xf numFmtId="0" fontId="10" fillId="3" borderId="0" xfId="2" applyNumberFormat="1" applyFont="1" applyFill="1" applyBorder="1" applyAlignment="1">
      <alignment horizontal="center"/>
    </xf>
    <xf numFmtId="49" fontId="10" fillId="3" borderId="0" xfId="2" applyNumberFormat="1" applyFont="1" applyFill="1" applyBorder="1" applyAlignment="1">
      <alignment horizontal="center"/>
    </xf>
    <xf numFmtId="165" fontId="15" fillId="3" borderId="0" xfId="2" applyNumberFormat="1" applyFont="1" applyFill="1" applyBorder="1" applyAlignment="1">
      <alignment horizontal="center"/>
    </xf>
    <xf numFmtId="16" fontId="10" fillId="3" borderId="0" xfId="3" applyNumberFormat="1" applyFont="1" applyFill="1" applyAlignment="1">
      <alignment horizontal="center"/>
    </xf>
    <xf numFmtId="40" fontId="16" fillId="5" borderId="5" xfId="1" applyNumberFormat="1" applyFont="1" applyFill="1" applyBorder="1"/>
    <xf numFmtId="0" fontId="5" fillId="3" borderId="20" xfId="1" applyFont="1" applyFill="1" applyBorder="1" applyAlignment="1">
      <alignment horizontal="center"/>
    </xf>
    <xf numFmtId="167" fontId="5" fillId="3" borderId="21" xfId="1" applyNumberFormat="1" applyFont="1" applyFill="1" applyBorder="1"/>
    <xf numFmtId="0" fontId="8" fillId="3" borderId="22" xfId="1" applyFont="1" applyFill="1" applyBorder="1"/>
    <xf numFmtId="0" fontId="2" fillId="10" borderId="23" xfId="1" applyFont="1" applyFill="1" applyBorder="1" applyAlignment="1">
      <alignment horizontal="center"/>
    </xf>
    <xf numFmtId="0" fontId="2" fillId="10" borderId="24" xfId="1" applyFont="1" applyFill="1" applyBorder="1" applyAlignment="1">
      <alignment horizontal="center"/>
    </xf>
    <xf numFmtId="0" fontId="2" fillId="10" borderId="25" xfId="1" applyFont="1" applyFill="1" applyBorder="1" applyAlignment="1">
      <alignment horizontal="center"/>
    </xf>
    <xf numFmtId="164" fontId="6" fillId="11" borderId="1" xfId="2" applyFont="1" applyFill="1" applyBorder="1"/>
    <xf numFmtId="164" fontId="6" fillId="11" borderId="26" xfId="2" applyFont="1" applyFill="1" applyBorder="1"/>
    <xf numFmtId="0" fontId="7" fillId="11" borderId="27" xfId="2" applyNumberFormat="1" applyFont="1" applyFill="1" applyBorder="1" applyAlignment="1"/>
    <xf numFmtId="0" fontId="7" fillId="11" borderId="27" xfId="2" applyNumberFormat="1" applyFont="1" applyFill="1" applyBorder="1" applyAlignment="1">
      <alignment horizontal="center"/>
    </xf>
    <xf numFmtId="49" fontId="7" fillId="11" borderId="27" xfId="2" applyNumberFormat="1" applyFont="1" applyFill="1" applyBorder="1" applyAlignment="1">
      <alignment horizontal="center"/>
    </xf>
    <xf numFmtId="165" fontId="7" fillId="11" borderId="27" xfId="2" applyNumberFormat="1" applyFont="1" applyFill="1" applyBorder="1" applyAlignment="1">
      <alignment horizontal="center"/>
    </xf>
    <xf numFmtId="166" fontId="7" fillId="11" borderId="27" xfId="2" applyNumberFormat="1" applyFont="1" applyFill="1" applyBorder="1" applyAlignment="1">
      <alignment horizontal="center"/>
    </xf>
    <xf numFmtId="40" fontId="7" fillId="11" borderId="27" xfId="2" applyNumberFormat="1" applyFont="1" applyFill="1" applyBorder="1" applyAlignment="1">
      <alignment horizontal="center"/>
    </xf>
    <xf numFmtId="167" fontId="7" fillId="11" borderId="28" xfId="2" applyNumberFormat="1" applyFont="1" applyFill="1" applyBorder="1" applyAlignment="1">
      <alignment horizontal="center"/>
    </xf>
    <xf numFmtId="164" fontId="6" fillId="11" borderId="2" xfId="2" applyFont="1" applyFill="1" applyBorder="1"/>
    <xf numFmtId="0" fontId="7" fillId="11" borderId="2" xfId="2" applyNumberFormat="1" applyFont="1" applyFill="1" applyBorder="1" applyAlignment="1"/>
    <xf numFmtId="0" fontId="7" fillId="11" borderId="2" xfId="2" applyNumberFormat="1" applyFont="1" applyFill="1" applyBorder="1" applyAlignment="1">
      <alignment horizontal="center"/>
    </xf>
    <xf numFmtId="49" fontId="7" fillId="11" borderId="2" xfId="2" applyNumberFormat="1" applyFont="1" applyFill="1" applyBorder="1" applyAlignment="1">
      <alignment horizontal="center"/>
    </xf>
    <xf numFmtId="165" fontId="7" fillId="11" borderId="2" xfId="2" applyNumberFormat="1" applyFont="1" applyFill="1" applyBorder="1" applyAlignment="1">
      <alignment horizontal="center"/>
    </xf>
    <xf numFmtId="166" fontId="7" fillId="11" borderId="2" xfId="2" applyNumberFormat="1" applyFont="1" applyFill="1" applyBorder="1" applyAlignment="1">
      <alignment horizontal="center"/>
    </xf>
    <xf numFmtId="40" fontId="7" fillId="11" borderId="2" xfId="2" applyNumberFormat="1" applyFont="1" applyFill="1" applyBorder="1" applyAlignment="1"/>
    <xf numFmtId="167" fontId="7" fillId="11" borderId="3" xfId="2" applyNumberFormat="1" applyFont="1" applyFill="1" applyBorder="1" applyAlignment="1"/>
    <xf numFmtId="164" fontId="14" fillId="8" borderId="29" xfId="2" applyFont="1" applyFill="1" applyBorder="1"/>
    <xf numFmtId="164" fontId="14" fillId="8" borderId="30" xfId="2" applyFont="1" applyFill="1" applyBorder="1"/>
    <xf numFmtId="0" fontId="10" fillId="8" borderId="30" xfId="2" applyNumberFormat="1" applyFont="1" applyFill="1" applyBorder="1" applyAlignment="1"/>
    <xf numFmtId="0" fontId="10" fillId="8" borderId="30" xfId="1" applyFont="1" applyFill="1" applyBorder="1"/>
    <xf numFmtId="16" fontId="10" fillId="8" borderId="30" xfId="2" applyNumberFormat="1" applyFont="1" applyFill="1" applyBorder="1" applyAlignment="1">
      <alignment horizontal="center"/>
    </xf>
    <xf numFmtId="49" fontId="10" fillId="8" borderId="30" xfId="2" applyNumberFormat="1" applyFont="1" applyFill="1" applyBorder="1" applyAlignment="1">
      <alignment horizontal="center"/>
    </xf>
    <xf numFmtId="165" fontId="11" fillId="8" borderId="30" xfId="2" applyNumberFormat="1" applyFont="1" applyFill="1" applyBorder="1" applyAlignment="1">
      <alignment horizontal="center"/>
    </xf>
    <xf numFmtId="165" fontId="10" fillId="8" borderId="30" xfId="2" applyNumberFormat="1" applyFont="1" applyFill="1" applyBorder="1" applyAlignment="1">
      <alignment horizontal="center"/>
    </xf>
    <xf numFmtId="40" fontId="10" fillId="8" borderId="30" xfId="2" applyNumberFormat="1" applyFont="1" applyFill="1" applyBorder="1" applyAlignment="1"/>
    <xf numFmtId="166" fontId="10" fillId="8" borderId="30" xfId="2" applyNumberFormat="1" applyFont="1" applyFill="1" applyBorder="1" applyAlignment="1">
      <alignment horizontal="center"/>
    </xf>
    <xf numFmtId="167" fontId="10" fillId="8" borderId="31" xfId="2" applyNumberFormat="1" applyFont="1" applyFill="1" applyBorder="1" applyAlignment="1"/>
    <xf numFmtId="164" fontId="14" fillId="8" borderId="13" xfId="2" applyFont="1" applyFill="1" applyBorder="1"/>
    <xf numFmtId="164" fontId="14" fillId="8" borderId="14" xfId="2" applyFont="1" applyFill="1" applyBorder="1"/>
    <xf numFmtId="0" fontId="10" fillId="8" borderId="14" xfId="1" applyFont="1" applyFill="1" applyBorder="1"/>
    <xf numFmtId="16" fontId="10" fillId="8" borderId="14" xfId="2" applyNumberFormat="1" applyFont="1" applyFill="1" applyBorder="1" applyAlignment="1">
      <alignment horizontal="center"/>
    </xf>
    <xf numFmtId="165" fontId="10" fillId="8" borderId="14" xfId="2" applyNumberFormat="1" applyFont="1" applyFill="1" applyBorder="1" applyAlignment="1">
      <alignment horizontal="center"/>
    </xf>
    <xf numFmtId="164" fontId="14" fillId="8" borderId="9" xfId="2" applyFont="1" applyFill="1" applyBorder="1"/>
    <xf numFmtId="164" fontId="14" fillId="8" borderId="10" xfId="2" applyFont="1" applyFill="1" applyBorder="1"/>
    <xf numFmtId="0" fontId="10" fillId="8" borderId="10" xfId="2" applyNumberFormat="1" applyFont="1" applyFill="1" applyBorder="1" applyAlignment="1"/>
    <xf numFmtId="0" fontId="10" fillId="8" borderId="10" xfId="1" applyFont="1" applyFill="1" applyBorder="1"/>
    <xf numFmtId="16" fontId="10" fillId="8" borderId="10" xfId="2" applyNumberFormat="1" applyFont="1" applyFill="1" applyBorder="1" applyAlignment="1">
      <alignment horizontal="center"/>
    </xf>
    <xf numFmtId="49" fontId="10" fillId="8" borderId="10" xfId="2" applyNumberFormat="1" applyFont="1" applyFill="1" applyBorder="1" applyAlignment="1">
      <alignment horizontal="center"/>
    </xf>
    <xf numFmtId="165" fontId="11" fillId="8" borderId="10" xfId="2" applyNumberFormat="1" applyFont="1" applyFill="1" applyBorder="1" applyAlignment="1">
      <alignment horizontal="center"/>
    </xf>
    <xf numFmtId="165" fontId="10" fillId="8" borderId="10" xfId="2" applyNumberFormat="1" applyFont="1" applyFill="1" applyBorder="1" applyAlignment="1">
      <alignment horizontal="center"/>
    </xf>
    <xf numFmtId="40" fontId="10" fillId="8" borderId="10" xfId="2" applyNumberFormat="1" applyFont="1" applyFill="1" applyBorder="1" applyAlignment="1"/>
    <xf numFmtId="166" fontId="10" fillId="8" borderId="10" xfId="2" applyNumberFormat="1" applyFont="1" applyFill="1" applyBorder="1" applyAlignment="1">
      <alignment horizontal="center"/>
    </xf>
    <xf numFmtId="167" fontId="10" fillId="8" borderId="11" xfId="2" applyNumberFormat="1" applyFont="1" applyFill="1" applyBorder="1" applyAlignment="1"/>
    <xf numFmtId="164" fontId="14" fillId="6" borderId="13" xfId="2" applyFont="1" applyFill="1" applyBorder="1"/>
    <xf numFmtId="164" fontId="14" fillId="6" borderId="14" xfId="2" applyFont="1" applyFill="1" applyBorder="1"/>
    <xf numFmtId="0" fontId="10" fillId="6" borderId="14" xfId="1" applyFont="1" applyFill="1" applyBorder="1"/>
    <xf numFmtId="16" fontId="10" fillId="6" borderId="14" xfId="2" applyNumberFormat="1" applyFont="1" applyFill="1" applyBorder="1" applyAlignment="1">
      <alignment horizontal="center"/>
    </xf>
    <xf numFmtId="165" fontId="10" fillId="6" borderId="14" xfId="2" applyNumberFormat="1" applyFont="1" applyFill="1" applyBorder="1" applyAlignment="1">
      <alignment horizontal="center"/>
    </xf>
    <xf numFmtId="164" fontId="14" fillId="6" borderId="9" xfId="2" applyFont="1" applyFill="1" applyBorder="1"/>
    <xf numFmtId="164" fontId="14" fillId="6" borderId="10" xfId="2" applyFont="1" applyFill="1" applyBorder="1"/>
    <xf numFmtId="0" fontId="10" fillId="6" borderId="10" xfId="1" applyFont="1" applyFill="1" applyBorder="1"/>
    <xf numFmtId="16" fontId="10" fillId="6" borderId="10" xfId="2" applyNumberFormat="1" applyFont="1" applyFill="1" applyBorder="1" applyAlignment="1">
      <alignment horizontal="center"/>
    </xf>
    <xf numFmtId="165" fontId="10" fillId="6" borderId="10" xfId="2" applyNumberFormat="1" applyFont="1" applyFill="1" applyBorder="1" applyAlignment="1">
      <alignment horizontal="center"/>
    </xf>
    <xf numFmtId="164" fontId="14" fillId="8" borderId="16" xfId="2" applyFont="1" applyFill="1" applyBorder="1"/>
    <xf numFmtId="164" fontId="14" fillId="8" borderId="17" xfId="2" applyFont="1" applyFill="1" applyBorder="1"/>
    <xf numFmtId="0" fontId="10" fillId="8" borderId="17" xfId="2" applyNumberFormat="1" applyFont="1" applyFill="1" applyBorder="1" applyAlignment="1"/>
    <xf numFmtId="0" fontId="10" fillId="8" borderId="17" xfId="1" applyFont="1" applyFill="1" applyBorder="1"/>
    <xf numFmtId="16" fontId="10" fillId="8" borderId="17" xfId="2" applyNumberFormat="1" applyFont="1" applyFill="1" applyBorder="1" applyAlignment="1">
      <alignment horizontal="center"/>
    </xf>
    <xf numFmtId="49" fontId="10" fillId="8" borderId="17" xfId="2" applyNumberFormat="1" applyFont="1" applyFill="1" applyBorder="1" applyAlignment="1">
      <alignment horizontal="center"/>
    </xf>
    <xf numFmtId="165" fontId="11" fillId="8" borderId="17" xfId="2" applyNumberFormat="1" applyFont="1" applyFill="1" applyBorder="1" applyAlignment="1">
      <alignment horizontal="center"/>
    </xf>
    <xf numFmtId="165" fontId="10" fillId="8" borderId="17" xfId="2" applyNumberFormat="1" applyFont="1" applyFill="1" applyBorder="1" applyAlignment="1">
      <alignment horizontal="center"/>
    </xf>
    <xf numFmtId="40" fontId="10" fillId="8" borderId="17" xfId="2" applyNumberFormat="1" applyFont="1" applyFill="1" applyBorder="1" applyAlignment="1"/>
    <xf numFmtId="0" fontId="5" fillId="8" borderId="32" xfId="1" applyFont="1" applyFill="1" applyBorder="1"/>
    <xf numFmtId="167" fontId="10" fillId="8" borderId="18" xfId="2" applyNumberFormat="1" applyFont="1" applyFill="1" applyBorder="1" applyAlignment="1"/>
    <xf numFmtId="0" fontId="10" fillId="3" borderId="0" xfId="2" applyNumberFormat="1" applyFont="1" applyFill="1" applyBorder="1" applyAlignment="1"/>
    <xf numFmtId="165" fontId="10" fillId="3" borderId="0" xfId="2" applyNumberFormat="1" applyFont="1" applyFill="1" applyBorder="1" applyAlignment="1">
      <alignment horizontal="center"/>
    </xf>
    <xf numFmtId="40" fontId="17" fillId="11" borderId="5" xfId="2" applyNumberFormat="1" applyFont="1" applyFill="1" applyBorder="1" applyAlignment="1"/>
    <xf numFmtId="166" fontId="10" fillId="3" borderId="20" xfId="2" applyNumberFormat="1" applyFont="1" applyFill="1" applyBorder="1" applyAlignment="1">
      <alignment horizontal="center"/>
    </xf>
    <xf numFmtId="167" fontId="10" fillId="3" borderId="0" xfId="2" applyNumberFormat="1" applyFont="1" applyFill="1" applyBorder="1" applyAlignment="1"/>
  </cellXfs>
  <cellStyles count="4">
    <cellStyle name="Normal" xfId="0" builtinId="0"/>
    <cellStyle name="Normal 2" xfId="3" xr:uid="{44CA2AFC-D8BE-4162-8A23-92E60F176635}"/>
    <cellStyle name="Normal 3" xfId="1" xr:uid="{A4882A97-9C54-4E33-A863-61D694CCB303}"/>
    <cellStyle name="Separador de milhares 2" xfId="2" xr:uid="{F0391139-45D9-4BA8-8C1D-9BEEA841A5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mportseguranca.sharepoint.com/sites/Dados/Documentos%20Compartilhados/Geral%20-%20Cmport/Planilha%20-%20CMPORT%20-%20Fluxo%20Financeiro/FLUXO%20FIN._+_2026%20-DEFINITIVO/FLUXO%20FINANCEIRO%20-%202026.xlsx" TargetMode="External"/><Relationship Id="rId1" Type="http://schemas.openxmlformats.org/officeDocument/2006/relationships/externalLinkPath" Target="https://cmportseguranca.sharepoint.com/sites/Dados/Documentos%20Compartilhados/Geral%20-%20Cmport/Planilha%20-%20CMPORT%20-%20Fluxo%20Financeiro/FLUXO%20FIN._+_2026%20-DEFINITIVO/FLUXO%20FINANCEIRO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T_FLUXO_2"/>
      <sheetName val="FLUXO"/>
      <sheetName val="Entradas e SAIDAS - 2026"/>
      <sheetName val="Reajustes - 2026"/>
      <sheetName val="NF - 2026"/>
      <sheetName val="MM - 2026"/>
      <sheetName val="Cobraças - 2026"/>
      <sheetName val="NCM - 2026"/>
      <sheetName val="Distribuição Lucro - 2026"/>
      <sheetName val="Entradas e SAIDAS (2016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5A4A-1169-4208-8FDF-E3BFBFC1A856}">
  <dimension ref="A1:AW124"/>
  <sheetViews>
    <sheetView tabSelected="1" topLeftCell="A98" workbookViewId="0">
      <selection activeCell="I130" sqref="I130"/>
    </sheetView>
  </sheetViews>
  <sheetFormatPr defaultRowHeight="15" x14ac:dyDescent="0.25"/>
  <cols>
    <col min="1" max="1" width="17.85546875" customWidth="1"/>
    <col min="2" max="2" width="15.5703125" customWidth="1"/>
    <col min="3" max="3" width="53.140625" customWidth="1"/>
    <col min="4" max="4" width="16" customWidth="1"/>
    <col min="5" max="5" width="14.85546875" customWidth="1"/>
    <col min="6" max="6" width="21.140625" customWidth="1"/>
    <col min="7" max="7" width="12.85546875" customWidth="1"/>
    <col min="8" max="8" width="21.7109375" customWidth="1"/>
    <col min="9" max="9" width="18.85546875" customWidth="1"/>
    <col min="10" max="10" width="12.28515625" customWidth="1"/>
    <col min="11" max="11" width="25.5703125" customWidth="1"/>
  </cols>
  <sheetData>
    <row r="1" spans="1:49" s="5" customFormat="1" ht="30" customHeight="1" thickBot="1" x14ac:dyDescent="0.5">
      <c r="A1" s="1" t="s">
        <v>177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0</v>
      </c>
    </row>
    <row r="2" spans="1:49" s="5" customFormat="1" ht="16.5" thickBot="1" x14ac:dyDescent="0.3">
      <c r="A2" s="6"/>
      <c r="B2" s="7"/>
      <c r="C2" s="8" t="s">
        <v>1</v>
      </c>
      <c r="D2" s="8" t="s">
        <v>2</v>
      </c>
      <c r="E2" s="9" t="s">
        <v>3</v>
      </c>
      <c r="F2" s="10" t="s">
        <v>4</v>
      </c>
      <c r="G2" s="11" t="s">
        <v>5</v>
      </c>
      <c r="H2" s="12" t="s">
        <v>6</v>
      </c>
      <c r="I2" s="13" t="s">
        <v>7</v>
      </c>
      <c r="J2" s="12"/>
      <c r="K2" s="14" t="s">
        <v>8</v>
      </c>
      <c r="L2" s="15"/>
    </row>
    <row r="3" spans="1:49" s="25" customFormat="1" ht="16.5" thickBot="1" x14ac:dyDescent="0.3">
      <c r="A3" s="16"/>
      <c r="B3" s="17"/>
      <c r="C3" s="18" t="s">
        <v>9</v>
      </c>
      <c r="D3" s="18"/>
      <c r="E3" s="19"/>
      <c r="F3" s="20"/>
      <c r="G3" s="21"/>
      <c r="H3" s="22"/>
      <c r="I3" s="23"/>
      <c r="J3" s="22"/>
      <c r="K3" s="24"/>
      <c r="L3" s="15"/>
    </row>
    <row r="4" spans="1:49" s="25" customFormat="1" ht="15.75" x14ac:dyDescent="0.25">
      <c r="A4" s="26" t="str">
        <f t="shared" ref="A4:A14" si="0">CONCATENATE(D4,MONTH(G4),YEAR(G4))</f>
        <v>Contrato12026</v>
      </c>
      <c r="B4" s="27" t="str">
        <f t="shared" ref="B4:B14" si="1">CONCATENATE(D4,G4)</f>
        <v>Contrato46034</v>
      </c>
      <c r="C4" s="28" t="s">
        <v>10</v>
      </c>
      <c r="D4" s="29" t="s">
        <v>11</v>
      </c>
      <c r="E4" s="30">
        <v>7467</v>
      </c>
      <c r="F4" s="31" t="s">
        <v>12</v>
      </c>
      <c r="G4" s="32">
        <v>46034</v>
      </c>
      <c r="H4" s="33">
        <v>46032</v>
      </c>
      <c r="I4" s="34">
        <v>759.15</v>
      </c>
      <c r="J4" s="35"/>
      <c r="K4" s="36">
        <f t="shared" ref="K4:K14" si="2">IF(J4="x",,I4)</f>
        <v>759.15</v>
      </c>
      <c r="L4" s="37"/>
    </row>
    <row r="5" spans="1:49" s="25" customFormat="1" ht="15.75" x14ac:dyDescent="0.25">
      <c r="A5" s="38" t="str">
        <f t="shared" si="0"/>
        <v>Contrato12026</v>
      </c>
      <c r="B5" s="39" t="str">
        <f t="shared" si="1"/>
        <v>Contrato46034</v>
      </c>
      <c r="C5" s="40" t="s">
        <v>13</v>
      </c>
      <c r="D5" s="41" t="s">
        <v>11</v>
      </c>
      <c r="E5" s="42">
        <f>E4+1</f>
        <v>7468</v>
      </c>
      <c r="F5" s="43" t="s">
        <v>12</v>
      </c>
      <c r="G5" s="32">
        <v>46034</v>
      </c>
      <c r="H5" s="44">
        <v>46032</v>
      </c>
      <c r="I5" s="45">
        <v>632.63</v>
      </c>
      <c r="J5" s="46"/>
      <c r="K5" s="47">
        <f t="shared" si="2"/>
        <v>632.63</v>
      </c>
      <c r="L5" s="37"/>
    </row>
    <row r="6" spans="1:49" s="25" customFormat="1" ht="15.75" x14ac:dyDescent="0.25">
      <c r="A6" s="38" t="str">
        <f t="shared" si="0"/>
        <v>Contrato12026</v>
      </c>
      <c r="B6" s="39" t="str">
        <f t="shared" si="1"/>
        <v>Contrato46034</v>
      </c>
      <c r="C6" s="40" t="s">
        <v>14</v>
      </c>
      <c r="D6" s="41" t="s">
        <v>11</v>
      </c>
      <c r="E6" s="42">
        <f>E5+1</f>
        <v>7469</v>
      </c>
      <c r="F6" s="43" t="s">
        <v>12</v>
      </c>
      <c r="G6" s="32">
        <v>46034</v>
      </c>
      <c r="H6" s="44">
        <v>46032</v>
      </c>
      <c r="I6" s="45">
        <v>404.88</v>
      </c>
      <c r="J6" s="46"/>
      <c r="K6" s="47">
        <f t="shared" si="2"/>
        <v>404.88</v>
      </c>
      <c r="L6" s="37"/>
    </row>
    <row r="7" spans="1:49" s="25" customFormat="1" ht="15.75" x14ac:dyDescent="0.25">
      <c r="A7" s="38" t="str">
        <f t="shared" si="0"/>
        <v>Contrato12026</v>
      </c>
      <c r="B7" s="39" t="str">
        <f t="shared" si="1"/>
        <v>Contrato46034</v>
      </c>
      <c r="C7" s="40" t="s">
        <v>15</v>
      </c>
      <c r="D7" s="41" t="s">
        <v>11</v>
      </c>
      <c r="E7" s="42">
        <f t="shared" ref="E7:E49" si="3">E6+1</f>
        <v>7470</v>
      </c>
      <c r="F7" s="43" t="s">
        <v>12</v>
      </c>
      <c r="G7" s="32">
        <v>46034</v>
      </c>
      <c r="H7" s="44">
        <v>46032</v>
      </c>
      <c r="I7" s="45">
        <v>308.32</v>
      </c>
      <c r="J7" s="46"/>
      <c r="K7" s="47">
        <f t="shared" si="2"/>
        <v>308.32</v>
      </c>
      <c r="L7" s="37"/>
    </row>
    <row r="8" spans="1:49" s="25" customFormat="1" ht="15.75" x14ac:dyDescent="0.25">
      <c r="A8" s="38" t="str">
        <f t="shared" si="0"/>
        <v>Contrato12026</v>
      </c>
      <c r="B8" s="39" t="str">
        <f t="shared" si="1"/>
        <v>Contrato46034</v>
      </c>
      <c r="C8" s="40" t="s">
        <v>16</v>
      </c>
      <c r="D8" s="41" t="s">
        <v>11</v>
      </c>
      <c r="E8" s="42">
        <f t="shared" si="3"/>
        <v>7471</v>
      </c>
      <c r="F8" s="43" t="s">
        <v>12</v>
      </c>
      <c r="G8" s="32">
        <v>46034</v>
      </c>
      <c r="H8" s="44">
        <v>46032</v>
      </c>
      <c r="I8" s="45">
        <v>379.58</v>
      </c>
      <c r="J8" s="46"/>
      <c r="K8" s="47">
        <f t="shared" si="2"/>
        <v>379.58</v>
      </c>
      <c r="L8" s="37"/>
    </row>
    <row r="9" spans="1:49" s="25" customFormat="1" ht="15.75" x14ac:dyDescent="0.25">
      <c r="A9" s="38" t="str">
        <f t="shared" si="0"/>
        <v>Contrato12026</v>
      </c>
      <c r="B9" s="39" t="str">
        <f t="shared" si="1"/>
        <v>Contrato46034</v>
      </c>
      <c r="C9" s="40" t="s">
        <v>17</v>
      </c>
      <c r="D9" s="41" t="s">
        <v>11</v>
      </c>
      <c r="E9" s="42">
        <f t="shared" si="3"/>
        <v>7472</v>
      </c>
      <c r="F9" s="43" t="s">
        <v>12</v>
      </c>
      <c r="G9" s="32">
        <v>46034</v>
      </c>
      <c r="H9" s="44">
        <v>46032</v>
      </c>
      <c r="I9" s="45">
        <v>615.86</v>
      </c>
      <c r="J9" s="46"/>
      <c r="K9" s="47">
        <f t="shared" si="2"/>
        <v>615.86</v>
      </c>
      <c r="L9" s="37"/>
    </row>
    <row r="10" spans="1:49" s="25" customFormat="1" ht="15.75" x14ac:dyDescent="0.25">
      <c r="A10" s="38" t="str">
        <f t="shared" si="0"/>
        <v>Contrato12026</v>
      </c>
      <c r="B10" s="39" t="str">
        <f t="shared" si="1"/>
        <v>Contrato46034</v>
      </c>
      <c r="C10" s="40" t="s">
        <v>18</v>
      </c>
      <c r="D10" s="41" t="s">
        <v>11</v>
      </c>
      <c r="E10" s="42">
        <f t="shared" si="3"/>
        <v>7473</v>
      </c>
      <c r="F10" s="43" t="s">
        <v>12</v>
      </c>
      <c r="G10" s="32">
        <v>46034</v>
      </c>
      <c r="H10" s="44">
        <v>46032</v>
      </c>
      <c r="I10" s="45">
        <v>387.58</v>
      </c>
      <c r="J10" s="46"/>
      <c r="K10" s="47">
        <f t="shared" si="2"/>
        <v>387.58</v>
      </c>
      <c r="L10" s="37"/>
    </row>
    <row r="11" spans="1:49" s="25" customFormat="1" ht="15.75" x14ac:dyDescent="0.25">
      <c r="A11" s="38" t="str">
        <f t="shared" si="0"/>
        <v>Contrato12026</v>
      </c>
      <c r="B11" s="39" t="str">
        <f t="shared" si="1"/>
        <v>Contrato46034</v>
      </c>
      <c r="C11" s="48" t="s">
        <v>19</v>
      </c>
      <c r="D11" s="41" t="s">
        <v>11</v>
      </c>
      <c r="E11" s="42">
        <f t="shared" si="3"/>
        <v>7474</v>
      </c>
      <c r="F11" s="43" t="s">
        <v>12</v>
      </c>
      <c r="G11" s="32">
        <v>46034</v>
      </c>
      <c r="H11" s="44">
        <v>46032</v>
      </c>
      <c r="I11" s="45">
        <v>798.08</v>
      </c>
      <c r="J11" s="46"/>
      <c r="K11" s="47">
        <f t="shared" si="2"/>
        <v>798.08</v>
      </c>
      <c r="L11" s="37"/>
    </row>
    <row r="12" spans="1:49" s="25" customFormat="1" ht="15.75" x14ac:dyDescent="0.25">
      <c r="A12" s="38" t="str">
        <f t="shared" si="0"/>
        <v>Contrato12026</v>
      </c>
      <c r="B12" s="39" t="str">
        <f t="shared" si="1"/>
        <v>Contrato46034</v>
      </c>
      <c r="C12" s="48" t="s">
        <v>20</v>
      </c>
      <c r="D12" s="41" t="s">
        <v>11</v>
      </c>
      <c r="E12" s="42">
        <f t="shared" si="3"/>
        <v>7475</v>
      </c>
      <c r="F12" s="43" t="s">
        <v>12</v>
      </c>
      <c r="G12" s="32">
        <v>46034</v>
      </c>
      <c r="H12" s="44">
        <v>46032</v>
      </c>
      <c r="I12" s="45">
        <v>590.45000000000005</v>
      </c>
      <c r="J12" s="46"/>
      <c r="K12" s="47">
        <f t="shared" si="2"/>
        <v>590.45000000000005</v>
      </c>
      <c r="L12" s="37"/>
    </row>
    <row r="13" spans="1:49" s="25" customFormat="1" ht="15.75" x14ac:dyDescent="0.25">
      <c r="A13" s="38" t="str">
        <f t="shared" si="0"/>
        <v>Contrato12026</v>
      </c>
      <c r="B13" s="39" t="str">
        <f t="shared" si="1"/>
        <v>Contrato46034</v>
      </c>
      <c r="C13" s="48" t="s">
        <v>21</v>
      </c>
      <c r="D13" s="41" t="s">
        <v>11</v>
      </c>
      <c r="E13" s="42">
        <f t="shared" si="3"/>
        <v>7476</v>
      </c>
      <c r="F13" s="43" t="s">
        <v>12</v>
      </c>
      <c r="G13" s="32">
        <v>46034</v>
      </c>
      <c r="H13" s="44">
        <v>46032</v>
      </c>
      <c r="I13" s="45">
        <v>457.64</v>
      </c>
      <c r="J13" s="46"/>
      <c r="K13" s="47">
        <f t="shared" si="2"/>
        <v>457.64</v>
      </c>
      <c r="L13" s="37"/>
    </row>
    <row r="14" spans="1:49" s="25" customFormat="1" ht="15.75" x14ac:dyDescent="0.25">
      <c r="A14" s="38" t="str">
        <f t="shared" si="0"/>
        <v>Contrato12026</v>
      </c>
      <c r="B14" s="39" t="str">
        <f t="shared" si="1"/>
        <v>Contrato46034</v>
      </c>
      <c r="C14" s="40" t="s">
        <v>22</v>
      </c>
      <c r="D14" s="41" t="s">
        <v>11</v>
      </c>
      <c r="E14" s="42">
        <f t="shared" si="3"/>
        <v>7477</v>
      </c>
      <c r="F14" s="43" t="s">
        <v>12</v>
      </c>
      <c r="G14" s="32">
        <v>46034</v>
      </c>
      <c r="H14" s="44">
        <v>46032</v>
      </c>
      <c r="I14" s="49">
        <v>401.3</v>
      </c>
      <c r="J14" s="50"/>
      <c r="K14" s="51">
        <f t="shared" si="2"/>
        <v>401.3</v>
      </c>
      <c r="L14" s="37"/>
    </row>
    <row r="15" spans="1:49" s="25" customFormat="1" ht="15.75" x14ac:dyDescent="0.25">
      <c r="A15" s="38" t="str">
        <f>CONCATENATE(D15,MONTH(G15),YEAR(G15))</f>
        <v>Contrato12026</v>
      </c>
      <c r="B15" s="39" t="str">
        <f>CONCATENATE(D15,G15)</f>
        <v>Contrato46034</v>
      </c>
      <c r="C15" s="48" t="s">
        <v>23</v>
      </c>
      <c r="D15" s="41" t="s">
        <v>11</v>
      </c>
      <c r="E15" s="42">
        <f t="shared" si="3"/>
        <v>7478</v>
      </c>
      <c r="F15" s="43" t="s">
        <v>12</v>
      </c>
      <c r="G15" s="32">
        <v>46034</v>
      </c>
      <c r="H15" s="44">
        <v>46032</v>
      </c>
      <c r="I15" s="45">
        <v>295.23</v>
      </c>
      <c r="J15" s="46"/>
      <c r="K15" s="47">
        <f>IF(J15="x",,I15)</f>
        <v>295.23</v>
      </c>
      <c r="L15" s="37"/>
    </row>
    <row r="16" spans="1:49" s="53" customFormat="1" ht="15.75" x14ac:dyDescent="0.25">
      <c r="A16" s="38" t="str">
        <f t="shared" ref="A16:A25" si="4">CONCATENATE(D16,MONTH(G16),YEAR(G16))</f>
        <v>Contrato12026</v>
      </c>
      <c r="B16" s="39" t="str">
        <f t="shared" ref="B16:B25" si="5">CONCATENATE(D16,G16)</f>
        <v>Contrato46034</v>
      </c>
      <c r="C16" s="48" t="s">
        <v>24</v>
      </c>
      <c r="D16" s="41" t="s">
        <v>11</v>
      </c>
      <c r="E16" s="42">
        <f t="shared" si="3"/>
        <v>7479</v>
      </c>
      <c r="F16" s="43" t="s">
        <v>12</v>
      </c>
      <c r="G16" s="32">
        <v>46034</v>
      </c>
      <c r="H16" s="44">
        <v>46032</v>
      </c>
      <c r="I16" s="45">
        <v>482.68</v>
      </c>
      <c r="J16" s="46"/>
      <c r="K16" s="47">
        <f t="shared" ref="K16:K25" si="6">IF(J16="x",,I16)</f>
        <v>482.68</v>
      </c>
      <c r="L16" s="37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</row>
    <row r="17" spans="1:49" s="25" customFormat="1" ht="15.75" x14ac:dyDescent="0.25">
      <c r="A17" s="38" t="str">
        <f t="shared" si="4"/>
        <v>Contrato12026</v>
      </c>
      <c r="B17" s="39" t="str">
        <f t="shared" si="5"/>
        <v>Contrato46031</v>
      </c>
      <c r="C17" s="48" t="s">
        <v>25</v>
      </c>
      <c r="D17" s="41" t="s">
        <v>11</v>
      </c>
      <c r="E17" s="42">
        <f t="shared" si="3"/>
        <v>7480</v>
      </c>
      <c r="F17" s="43" t="s">
        <v>12</v>
      </c>
      <c r="G17" s="54">
        <v>46031</v>
      </c>
      <c r="H17" s="44">
        <v>46032</v>
      </c>
      <c r="I17" s="45">
        <v>533.34</v>
      </c>
      <c r="J17" s="46"/>
      <c r="K17" s="47">
        <f t="shared" si="6"/>
        <v>533.34</v>
      </c>
      <c r="L17" s="37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</row>
    <row r="18" spans="1:49" s="25" customFormat="1" ht="15.75" x14ac:dyDescent="0.25">
      <c r="A18" s="38" t="str">
        <f t="shared" si="4"/>
        <v>Contrato12026</v>
      </c>
      <c r="B18" s="39" t="str">
        <f t="shared" si="5"/>
        <v>Contrato46034</v>
      </c>
      <c r="C18" s="48" t="s">
        <v>26</v>
      </c>
      <c r="D18" s="41" t="s">
        <v>11</v>
      </c>
      <c r="E18" s="42">
        <f t="shared" si="3"/>
        <v>7481</v>
      </c>
      <c r="F18" s="43" t="s">
        <v>12</v>
      </c>
      <c r="G18" s="32">
        <v>46034</v>
      </c>
      <c r="H18" s="44">
        <v>46032</v>
      </c>
      <c r="I18" s="45">
        <v>548.28</v>
      </c>
      <c r="J18" s="46"/>
      <c r="K18" s="47">
        <f t="shared" si="6"/>
        <v>548.28</v>
      </c>
      <c r="L18" s="37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</row>
    <row r="19" spans="1:49" s="25" customFormat="1" ht="15.75" x14ac:dyDescent="0.25">
      <c r="A19" s="38" t="str">
        <f t="shared" si="4"/>
        <v>Contrato12026</v>
      </c>
      <c r="B19" s="39" t="str">
        <f t="shared" si="5"/>
        <v>Contrato46031</v>
      </c>
      <c r="C19" s="40" t="s">
        <v>27</v>
      </c>
      <c r="D19" s="41" t="s">
        <v>11</v>
      </c>
      <c r="E19" s="42">
        <f t="shared" si="3"/>
        <v>7482</v>
      </c>
      <c r="F19" s="43" t="s">
        <v>12</v>
      </c>
      <c r="G19" s="54">
        <v>46031</v>
      </c>
      <c r="H19" s="44">
        <v>46032</v>
      </c>
      <c r="I19" s="49">
        <v>337.4</v>
      </c>
      <c r="J19" s="50"/>
      <c r="K19" s="51">
        <f t="shared" si="6"/>
        <v>337.4</v>
      </c>
      <c r="L19" s="37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</row>
    <row r="20" spans="1:49" s="25" customFormat="1" ht="15.75" x14ac:dyDescent="0.25">
      <c r="A20" s="38" t="str">
        <f t="shared" si="4"/>
        <v>Contrato12026</v>
      </c>
      <c r="B20" s="39" t="str">
        <f t="shared" si="5"/>
        <v>Contrato46034</v>
      </c>
      <c r="C20" s="48" t="s">
        <v>28</v>
      </c>
      <c r="D20" s="41" t="s">
        <v>11</v>
      </c>
      <c r="E20" s="42">
        <f t="shared" si="3"/>
        <v>7483</v>
      </c>
      <c r="F20" s="43" t="s">
        <v>12</v>
      </c>
      <c r="G20" s="32">
        <v>46034</v>
      </c>
      <c r="H20" s="44">
        <v>46032</v>
      </c>
      <c r="I20" s="45">
        <v>337.4</v>
      </c>
      <c r="J20" s="46"/>
      <c r="K20" s="47">
        <f t="shared" si="6"/>
        <v>337.4</v>
      </c>
      <c r="L20" s="37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</row>
    <row r="21" spans="1:49" s="25" customFormat="1" ht="15.75" x14ac:dyDescent="0.25">
      <c r="A21" s="38" t="str">
        <f t="shared" si="4"/>
        <v>Contrato12026</v>
      </c>
      <c r="B21" s="39" t="str">
        <f t="shared" si="5"/>
        <v>Contrato46034</v>
      </c>
      <c r="C21" s="48" t="s">
        <v>29</v>
      </c>
      <c r="D21" s="41" t="s">
        <v>11</v>
      </c>
      <c r="E21" s="42">
        <f t="shared" si="3"/>
        <v>7484</v>
      </c>
      <c r="F21" s="43" t="s">
        <v>12</v>
      </c>
      <c r="G21" s="32">
        <v>46034</v>
      </c>
      <c r="H21" s="44">
        <v>46032</v>
      </c>
      <c r="I21" s="45">
        <v>337.4</v>
      </c>
      <c r="J21" s="46"/>
      <c r="K21" s="47">
        <f t="shared" si="6"/>
        <v>337.4</v>
      </c>
      <c r="L21" s="37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</row>
    <row r="22" spans="1:49" s="55" customFormat="1" ht="15.75" x14ac:dyDescent="0.25">
      <c r="A22" s="38" t="str">
        <f t="shared" si="4"/>
        <v>Contrato12026</v>
      </c>
      <c r="B22" s="39" t="str">
        <f t="shared" si="5"/>
        <v>Contrato46031</v>
      </c>
      <c r="C22" s="48" t="s">
        <v>30</v>
      </c>
      <c r="D22" s="41" t="s">
        <v>11</v>
      </c>
      <c r="E22" s="42">
        <f t="shared" si="3"/>
        <v>7485</v>
      </c>
      <c r="F22" s="43" t="s">
        <v>12</v>
      </c>
      <c r="G22" s="54">
        <v>46031</v>
      </c>
      <c r="H22" s="44">
        <v>46032</v>
      </c>
      <c r="I22" s="45">
        <v>759.15</v>
      </c>
      <c r="J22" s="46"/>
      <c r="K22" s="47">
        <f t="shared" si="6"/>
        <v>759.15</v>
      </c>
      <c r="L22" s="37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</row>
    <row r="23" spans="1:49" s="25" customFormat="1" ht="15.75" x14ac:dyDescent="0.25">
      <c r="A23" s="38" t="str">
        <f t="shared" si="4"/>
        <v>Contrato12026</v>
      </c>
      <c r="B23" s="39" t="str">
        <f t="shared" si="5"/>
        <v>Contrato46034</v>
      </c>
      <c r="C23" s="48" t="s">
        <v>31</v>
      </c>
      <c r="D23" s="41" t="s">
        <v>11</v>
      </c>
      <c r="E23" s="42">
        <f t="shared" si="3"/>
        <v>7486</v>
      </c>
      <c r="F23" s="43" t="s">
        <v>12</v>
      </c>
      <c r="G23" s="32">
        <v>46034</v>
      </c>
      <c r="H23" s="44">
        <v>46032</v>
      </c>
      <c r="I23" s="45">
        <v>506.1</v>
      </c>
      <c r="J23" s="46"/>
      <c r="K23" s="47">
        <f t="shared" si="6"/>
        <v>506.1</v>
      </c>
      <c r="L23" s="37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</row>
    <row r="24" spans="1:49" s="58" customFormat="1" ht="15.75" x14ac:dyDescent="0.25">
      <c r="A24" s="56" t="str">
        <f t="shared" si="4"/>
        <v>Contrato12026</v>
      </c>
      <c r="B24" s="57" t="str">
        <f t="shared" si="5"/>
        <v>Contrato46034</v>
      </c>
      <c r="C24" s="48" t="s">
        <v>32</v>
      </c>
      <c r="D24" s="41" t="s">
        <v>11</v>
      </c>
      <c r="E24" s="42">
        <f t="shared" si="3"/>
        <v>7487</v>
      </c>
      <c r="F24" s="43" t="s">
        <v>12</v>
      </c>
      <c r="G24" s="32">
        <v>46034</v>
      </c>
      <c r="H24" s="44">
        <v>46032</v>
      </c>
      <c r="I24" s="45">
        <v>168.7</v>
      </c>
      <c r="J24" s="46"/>
      <c r="K24" s="47">
        <f t="shared" si="6"/>
        <v>168.7</v>
      </c>
      <c r="L24" s="37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</row>
    <row r="25" spans="1:49" s="5" customFormat="1" ht="15.75" x14ac:dyDescent="0.25">
      <c r="A25" s="38" t="str">
        <f t="shared" si="4"/>
        <v>Contrato12026</v>
      </c>
      <c r="B25" s="39" t="str">
        <f t="shared" si="5"/>
        <v>Contrato46034</v>
      </c>
      <c r="C25" s="40" t="s">
        <v>33</v>
      </c>
      <c r="D25" s="41" t="s">
        <v>11</v>
      </c>
      <c r="E25" s="42">
        <f t="shared" si="3"/>
        <v>7488</v>
      </c>
      <c r="F25" s="43" t="s">
        <v>12</v>
      </c>
      <c r="G25" s="32">
        <v>46034</v>
      </c>
      <c r="H25" s="44">
        <v>46034</v>
      </c>
      <c r="I25" s="45">
        <v>538.51</v>
      </c>
      <c r="J25" s="46"/>
      <c r="K25" s="47">
        <f t="shared" si="6"/>
        <v>538.51</v>
      </c>
      <c r="L25" s="37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</row>
    <row r="26" spans="1:49" s="5" customFormat="1" ht="15.75" x14ac:dyDescent="0.25">
      <c r="A26" s="38" t="str">
        <f>CONCATENATE(D26,MONTH(G26),YEAR(G26))</f>
        <v>Contrato12026</v>
      </c>
      <c r="B26" s="39" t="str">
        <f>CONCATENATE(D26,G26)</f>
        <v>Contrato46034</v>
      </c>
      <c r="C26" s="48" t="s">
        <v>34</v>
      </c>
      <c r="D26" s="41" t="s">
        <v>11</v>
      </c>
      <c r="E26" s="42">
        <f t="shared" si="3"/>
        <v>7489</v>
      </c>
      <c r="F26" s="43" t="s">
        <v>12</v>
      </c>
      <c r="G26" s="32">
        <v>46034</v>
      </c>
      <c r="H26" s="44">
        <v>46034</v>
      </c>
      <c r="I26" s="45">
        <v>349.5</v>
      </c>
      <c r="J26" s="46"/>
      <c r="K26" s="47">
        <f>IF(J26="x",,I26)</f>
        <v>349.5</v>
      </c>
      <c r="L26" s="37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</row>
    <row r="27" spans="1:49" s="58" customFormat="1" ht="15.75" x14ac:dyDescent="0.25">
      <c r="A27" s="38" t="str">
        <f t="shared" ref="A27:A49" si="7">CONCATENATE(D27,MONTH(G27),YEAR(G27))</f>
        <v>Contrato12026</v>
      </c>
      <c r="B27" s="39" t="str">
        <f t="shared" ref="B27:B49" si="8">CONCATENATE(D27,G27)</f>
        <v>Contrato46034</v>
      </c>
      <c r="C27" s="48" t="s">
        <v>35</v>
      </c>
      <c r="D27" s="41" t="s">
        <v>11</v>
      </c>
      <c r="E27" s="42">
        <f t="shared" si="3"/>
        <v>7490</v>
      </c>
      <c r="F27" s="43" t="s">
        <v>12</v>
      </c>
      <c r="G27" s="32">
        <v>46034</v>
      </c>
      <c r="H27" s="44">
        <v>46034</v>
      </c>
      <c r="I27" s="49">
        <v>468.6</v>
      </c>
      <c r="J27" s="50"/>
      <c r="K27" s="51">
        <f t="shared" ref="K27:K49" si="9">IF(J27="x",,I27)</f>
        <v>468.6</v>
      </c>
      <c r="L27" s="37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</row>
    <row r="28" spans="1:49" s="58" customFormat="1" ht="15.75" x14ac:dyDescent="0.25">
      <c r="A28" s="38" t="str">
        <f t="shared" si="7"/>
        <v>Contrato12026</v>
      </c>
      <c r="B28" s="39" t="str">
        <f t="shared" si="8"/>
        <v>Contrato46034</v>
      </c>
      <c r="C28" s="48" t="s">
        <v>36</v>
      </c>
      <c r="D28" s="41" t="s">
        <v>11</v>
      </c>
      <c r="E28" s="42">
        <f t="shared" si="3"/>
        <v>7491</v>
      </c>
      <c r="F28" s="43" t="s">
        <v>12</v>
      </c>
      <c r="G28" s="32">
        <v>46034</v>
      </c>
      <c r="H28" s="44">
        <v>46034</v>
      </c>
      <c r="I28" s="45">
        <v>361.5</v>
      </c>
      <c r="J28" s="46"/>
      <c r="K28" s="47">
        <f t="shared" si="9"/>
        <v>361.5</v>
      </c>
      <c r="L28" s="37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</row>
    <row r="29" spans="1:49" s="52" customFormat="1" ht="15.75" x14ac:dyDescent="0.25">
      <c r="A29" s="38" t="str">
        <f t="shared" si="7"/>
        <v>Contrato12026</v>
      </c>
      <c r="B29" s="39" t="str">
        <f t="shared" si="8"/>
        <v>Contrato46034</v>
      </c>
      <c r="C29" s="40" t="s">
        <v>37</v>
      </c>
      <c r="D29" s="41" t="s">
        <v>11</v>
      </c>
      <c r="E29" s="42">
        <f t="shared" si="3"/>
        <v>7492</v>
      </c>
      <c r="F29" s="43" t="s">
        <v>12</v>
      </c>
      <c r="G29" s="32">
        <v>46034</v>
      </c>
      <c r="H29" s="44">
        <v>46034</v>
      </c>
      <c r="I29" s="49">
        <v>514.01</v>
      </c>
      <c r="J29" s="50"/>
      <c r="K29" s="51">
        <f t="shared" si="9"/>
        <v>514.01</v>
      </c>
      <c r="L29" s="37"/>
    </row>
    <row r="30" spans="1:49" s="59" customFormat="1" ht="15.75" x14ac:dyDescent="0.25">
      <c r="A30" s="38" t="str">
        <f t="shared" si="7"/>
        <v>Contrato12026</v>
      </c>
      <c r="B30" s="39" t="str">
        <f t="shared" si="8"/>
        <v>Contrato46034</v>
      </c>
      <c r="C30" s="48" t="s">
        <v>38</v>
      </c>
      <c r="D30" s="41" t="s">
        <v>11</v>
      </c>
      <c r="E30" s="42">
        <f t="shared" si="3"/>
        <v>7493</v>
      </c>
      <c r="F30" s="43" t="s">
        <v>12</v>
      </c>
      <c r="G30" s="32">
        <v>46034</v>
      </c>
      <c r="H30" s="44">
        <v>46034</v>
      </c>
      <c r="I30" s="49">
        <v>357.42</v>
      </c>
      <c r="J30" s="50"/>
      <c r="K30" s="51">
        <f t="shared" si="9"/>
        <v>357.42</v>
      </c>
      <c r="L30" s="37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</row>
    <row r="31" spans="1:49" s="58" customFormat="1" ht="15.75" x14ac:dyDescent="0.25">
      <c r="A31" s="38" t="str">
        <f t="shared" si="7"/>
        <v>Contrato12026</v>
      </c>
      <c r="B31" s="39" t="str">
        <f t="shared" si="8"/>
        <v>Contrato46034</v>
      </c>
      <c r="C31" s="48" t="s">
        <v>39</v>
      </c>
      <c r="D31" s="41" t="s">
        <v>11</v>
      </c>
      <c r="E31" s="42">
        <f t="shared" si="3"/>
        <v>7494</v>
      </c>
      <c r="F31" s="43" t="s">
        <v>12</v>
      </c>
      <c r="G31" s="32">
        <v>46034</v>
      </c>
      <c r="H31" s="44">
        <v>46034</v>
      </c>
      <c r="I31" s="49">
        <v>457.62</v>
      </c>
      <c r="J31" s="50"/>
      <c r="K31" s="51">
        <f t="shared" si="9"/>
        <v>457.62</v>
      </c>
      <c r="L31" s="37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</row>
    <row r="32" spans="1:49" s="58" customFormat="1" ht="15" customHeight="1" x14ac:dyDescent="0.25">
      <c r="A32" s="38" t="str">
        <f t="shared" si="7"/>
        <v>Contrato12026</v>
      </c>
      <c r="B32" s="39" t="str">
        <f t="shared" si="8"/>
        <v>Contrato46034</v>
      </c>
      <c r="C32" s="48" t="s">
        <v>40</v>
      </c>
      <c r="D32" s="41" t="s">
        <v>11</v>
      </c>
      <c r="E32" s="42">
        <f t="shared" si="3"/>
        <v>7495</v>
      </c>
      <c r="F32" s="43" t="s">
        <v>12</v>
      </c>
      <c r="G32" s="32">
        <v>46034</v>
      </c>
      <c r="H32" s="44">
        <v>46034</v>
      </c>
      <c r="I32" s="49">
        <v>378.71</v>
      </c>
      <c r="J32" s="50"/>
      <c r="K32" s="51">
        <f t="shared" si="9"/>
        <v>378.71</v>
      </c>
      <c r="L32" s="37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</row>
    <row r="33" spans="1:49" s="58" customFormat="1" ht="15" customHeight="1" x14ac:dyDescent="0.25">
      <c r="A33" s="38" t="str">
        <f t="shared" si="7"/>
        <v>Contrato12026</v>
      </c>
      <c r="B33" s="39" t="str">
        <f t="shared" si="8"/>
        <v>Contrato46037</v>
      </c>
      <c r="C33" s="48" t="s">
        <v>41</v>
      </c>
      <c r="D33" s="41" t="s">
        <v>11</v>
      </c>
      <c r="E33" s="42">
        <f t="shared" si="3"/>
        <v>7496</v>
      </c>
      <c r="F33" s="43" t="s">
        <v>12</v>
      </c>
      <c r="G33" s="54">
        <v>46037</v>
      </c>
      <c r="H33" s="44">
        <v>46037</v>
      </c>
      <c r="I33" s="45">
        <v>631.92999999999995</v>
      </c>
      <c r="J33" s="46"/>
      <c r="K33" s="51">
        <f t="shared" si="9"/>
        <v>631.92999999999995</v>
      </c>
      <c r="L33" s="37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</row>
    <row r="34" spans="1:49" s="5" customFormat="1" ht="15.75" x14ac:dyDescent="0.25">
      <c r="A34" s="38" t="str">
        <f t="shared" si="7"/>
        <v>Contrato12026</v>
      </c>
      <c r="B34" s="39" t="str">
        <f t="shared" si="8"/>
        <v>Contrato46037</v>
      </c>
      <c r="C34" s="40" t="s">
        <v>42</v>
      </c>
      <c r="D34" s="41" t="s">
        <v>11</v>
      </c>
      <c r="E34" s="42">
        <f t="shared" si="3"/>
        <v>7497</v>
      </c>
      <c r="F34" s="43" t="s">
        <v>12</v>
      </c>
      <c r="G34" s="54">
        <v>46037</v>
      </c>
      <c r="H34" s="44">
        <v>46037</v>
      </c>
      <c r="I34" s="49">
        <v>499.73</v>
      </c>
      <c r="J34" s="50"/>
      <c r="K34" s="51">
        <f t="shared" si="9"/>
        <v>499.73</v>
      </c>
      <c r="L34" s="37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</row>
    <row r="35" spans="1:49" s="58" customFormat="1" ht="15.75" x14ac:dyDescent="0.25">
      <c r="A35" s="38" t="str">
        <f t="shared" si="7"/>
        <v>Contrato12026</v>
      </c>
      <c r="B35" s="39" t="str">
        <f t="shared" si="8"/>
        <v>Contrato46037</v>
      </c>
      <c r="C35" s="40" t="s">
        <v>43</v>
      </c>
      <c r="D35" s="41" t="s">
        <v>11</v>
      </c>
      <c r="E35" s="42">
        <f t="shared" si="3"/>
        <v>7498</v>
      </c>
      <c r="F35" s="43" t="s">
        <v>12</v>
      </c>
      <c r="G35" s="54">
        <v>46037</v>
      </c>
      <c r="H35" s="44">
        <v>46037</v>
      </c>
      <c r="I35" s="49">
        <v>392.54</v>
      </c>
      <c r="J35" s="50"/>
      <c r="K35" s="51">
        <f t="shared" si="9"/>
        <v>392.54</v>
      </c>
      <c r="L35" s="37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</row>
    <row r="36" spans="1:49" s="52" customFormat="1" ht="15.75" x14ac:dyDescent="0.25">
      <c r="A36" s="38" t="str">
        <f t="shared" si="7"/>
        <v>Contrato12026</v>
      </c>
      <c r="B36" s="39" t="str">
        <f t="shared" si="8"/>
        <v>Contrato46037</v>
      </c>
      <c r="C36" s="48" t="s">
        <v>44</v>
      </c>
      <c r="D36" s="41" t="s">
        <v>11</v>
      </c>
      <c r="E36" s="42">
        <f t="shared" si="3"/>
        <v>7499</v>
      </c>
      <c r="F36" s="43" t="s">
        <v>12</v>
      </c>
      <c r="G36" s="54">
        <v>46037</v>
      </c>
      <c r="H36" s="44">
        <v>46037</v>
      </c>
      <c r="I36" s="49">
        <v>437.46</v>
      </c>
      <c r="J36" s="50"/>
      <c r="K36" s="51">
        <f t="shared" si="9"/>
        <v>437.46</v>
      </c>
      <c r="L36" s="37"/>
    </row>
    <row r="37" spans="1:49" s="5" customFormat="1" ht="15.75" x14ac:dyDescent="0.25">
      <c r="A37" s="38" t="str">
        <f t="shared" si="7"/>
        <v>Contrato12026</v>
      </c>
      <c r="B37" s="39" t="str">
        <f t="shared" si="8"/>
        <v>Contrato46037</v>
      </c>
      <c r="C37" s="48" t="s">
        <v>45</v>
      </c>
      <c r="D37" s="41" t="s">
        <v>11</v>
      </c>
      <c r="E37" s="42">
        <f t="shared" si="3"/>
        <v>7500</v>
      </c>
      <c r="F37" s="43" t="s">
        <v>12</v>
      </c>
      <c r="G37" s="54">
        <v>46037</v>
      </c>
      <c r="H37" s="44">
        <v>46037</v>
      </c>
      <c r="I37" s="45">
        <v>388.84</v>
      </c>
      <c r="J37" s="46"/>
      <c r="K37" s="47">
        <f t="shared" si="9"/>
        <v>388.84</v>
      </c>
      <c r="L37" s="37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</row>
    <row r="38" spans="1:49" s="5" customFormat="1" ht="15.75" x14ac:dyDescent="0.25">
      <c r="A38" s="38" t="str">
        <f t="shared" si="7"/>
        <v>Contrato12026</v>
      </c>
      <c r="B38" s="39" t="str">
        <f t="shared" si="8"/>
        <v>Contrato46042</v>
      </c>
      <c r="C38" s="48" t="s">
        <v>46</v>
      </c>
      <c r="D38" s="41" t="s">
        <v>11</v>
      </c>
      <c r="E38" s="42">
        <f t="shared" si="3"/>
        <v>7501</v>
      </c>
      <c r="F38" s="43" t="s">
        <v>12</v>
      </c>
      <c r="G38" s="54">
        <v>46042</v>
      </c>
      <c r="H38" s="60">
        <v>46042</v>
      </c>
      <c r="I38" s="45">
        <v>590.46</v>
      </c>
      <c r="J38" s="46"/>
      <c r="K38" s="47">
        <f t="shared" si="9"/>
        <v>590.46</v>
      </c>
      <c r="L38" s="37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</row>
    <row r="39" spans="1:49" s="5" customFormat="1" ht="15.75" x14ac:dyDescent="0.25">
      <c r="A39" s="38" t="str">
        <f t="shared" si="7"/>
        <v>Contrato12026</v>
      </c>
      <c r="B39" s="39" t="str">
        <f t="shared" si="8"/>
        <v>Contrato46042</v>
      </c>
      <c r="C39" s="48" t="s">
        <v>47</v>
      </c>
      <c r="D39" s="41" t="s">
        <v>11</v>
      </c>
      <c r="E39" s="42">
        <f t="shared" si="3"/>
        <v>7502</v>
      </c>
      <c r="F39" s="43" t="s">
        <v>12</v>
      </c>
      <c r="G39" s="54">
        <v>46042</v>
      </c>
      <c r="H39" s="60">
        <v>46042</v>
      </c>
      <c r="I39" s="45">
        <v>521.09</v>
      </c>
      <c r="J39" s="46"/>
      <c r="K39" s="47">
        <f t="shared" si="9"/>
        <v>521.09</v>
      </c>
      <c r="L39" s="37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</row>
    <row r="40" spans="1:49" s="5" customFormat="1" ht="15.75" x14ac:dyDescent="0.25">
      <c r="A40" s="61" t="str">
        <f t="shared" si="7"/>
        <v>Contrato12026</v>
      </c>
      <c r="B40" s="62" t="str">
        <f t="shared" si="8"/>
        <v>Contrato46049</v>
      </c>
      <c r="C40" s="63" t="s">
        <v>48</v>
      </c>
      <c r="D40" s="64" t="s">
        <v>11</v>
      </c>
      <c r="E40" s="65">
        <f t="shared" si="3"/>
        <v>7503</v>
      </c>
      <c r="F40" s="66" t="s">
        <v>12</v>
      </c>
      <c r="G40" s="67">
        <v>46049</v>
      </c>
      <c r="H40" s="68">
        <v>46042</v>
      </c>
      <c r="I40" s="69">
        <v>439.23</v>
      </c>
      <c r="J40" s="70"/>
      <c r="K40" s="71">
        <f t="shared" si="9"/>
        <v>439.23</v>
      </c>
      <c r="L40" s="37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</row>
    <row r="41" spans="1:49" s="5" customFormat="1" ht="15.75" x14ac:dyDescent="0.25">
      <c r="A41" s="61" t="str">
        <f t="shared" si="7"/>
        <v>Contrato12026</v>
      </c>
      <c r="B41" s="62" t="str">
        <f t="shared" si="8"/>
        <v>Contrato46049</v>
      </c>
      <c r="C41" s="63" t="s">
        <v>49</v>
      </c>
      <c r="D41" s="64" t="s">
        <v>11</v>
      </c>
      <c r="E41" s="65" t="s">
        <v>50</v>
      </c>
      <c r="F41" s="66" t="s">
        <v>12</v>
      </c>
      <c r="G41" s="67">
        <v>46049</v>
      </c>
      <c r="H41" s="68">
        <v>46042</v>
      </c>
      <c r="I41" s="69">
        <v>602.21</v>
      </c>
      <c r="J41" s="70"/>
      <c r="K41" s="71">
        <f t="shared" si="9"/>
        <v>602.21</v>
      </c>
      <c r="L41" s="37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</row>
    <row r="42" spans="1:49" s="5" customFormat="1" ht="15.75" x14ac:dyDescent="0.25">
      <c r="A42" s="38" t="str">
        <f t="shared" si="7"/>
        <v>Contrato12026</v>
      </c>
      <c r="B42" s="39" t="str">
        <f t="shared" si="8"/>
        <v>Contrato46042</v>
      </c>
      <c r="C42" s="48" t="s">
        <v>51</v>
      </c>
      <c r="D42" s="41" t="s">
        <v>11</v>
      </c>
      <c r="E42" s="42">
        <f>E40+1</f>
        <v>7504</v>
      </c>
      <c r="F42" s="43" t="s">
        <v>12</v>
      </c>
      <c r="G42" s="54">
        <v>46042</v>
      </c>
      <c r="H42" s="60">
        <v>46042</v>
      </c>
      <c r="I42" s="45">
        <v>260.73</v>
      </c>
      <c r="J42" s="46"/>
      <c r="K42" s="47">
        <f t="shared" si="9"/>
        <v>260.73</v>
      </c>
      <c r="L42" s="37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</row>
    <row r="43" spans="1:49" s="5" customFormat="1" ht="15" customHeight="1" x14ac:dyDescent="0.25">
      <c r="A43" s="38" t="str">
        <f t="shared" si="7"/>
        <v>Contrato12026</v>
      </c>
      <c r="B43" s="39" t="str">
        <f t="shared" si="8"/>
        <v>Contrato46042</v>
      </c>
      <c r="C43" s="48" t="s">
        <v>52</v>
      </c>
      <c r="D43" s="41" t="s">
        <v>11</v>
      </c>
      <c r="E43" s="42">
        <f t="shared" si="3"/>
        <v>7505</v>
      </c>
      <c r="F43" s="43" t="s">
        <v>12</v>
      </c>
      <c r="G43" s="54">
        <v>46042</v>
      </c>
      <c r="H43" s="60">
        <v>46042</v>
      </c>
      <c r="I43" s="45">
        <v>469.1</v>
      </c>
      <c r="J43" s="46"/>
      <c r="K43" s="47">
        <f t="shared" si="9"/>
        <v>469.1</v>
      </c>
      <c r="L43" s="37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</row>
    <row r="44" spans="1:49" s="5" customFormat="1" ht="16.5" customHeight="1" x14ac:dyDescent="0.25">
      <c r="A44" s="38" t="str">
        <f t="shared" si="7"/>
        <v>Contrato12026</v>
      </c>
      <c r="B44" s="39" t="str">
        <f t="shared" si="8"/>
        <v>Contrato46042</v>
      </c>
      <c r="C44" s="48" t="s">
        <v>53</v>
      </c>
      <c r="D44" s="41" t="s">
        <v>11</v>
      </c>
      <c r="E44" s="42">
        <f t="shared" si="3"/>
        <v>7506</v>
      </c>
      <c r="F44" s="43" t="s">
        <v>12</v>
      </c>
      <c r="G44" s="54">
        <v>46042</v>
      </c>
      <c r="H44" s="60">
        <v>46042</v>
      </c>
      <c r="I44" s="45">
        <v>449.4</v>
      </c>
      <c r="J44" s="46"/>
      <c r="K44" s="47">
        <f t="shared" si="9"/>
        <v>449.4</v>
      </c>
      <c r="L44" s="37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</row>
    <row r="45" spans="1:49" s="5" customFormat="1" ht="16.5" customHeight="1" x14ac:dyDescent="0.25">
      <c r="A45" s="38" t="str">
        <f t="shared" si="7"/>
        <v>Contrato12026</v>
      </c>
      <c r="B45" s="39" t="str">
        <f t="shared" si="8"/>
        <v>Contrato46042</v>
      </c>
      <c r="C45" s="48" t="s">
        <v>54</v>
      </c>
      <c r="D45" s="41" t="s">
        <v>11</v>
      </c>
      <c r="E45" s="42">
        <f t="shared" si="3"/>
        <v>7507</v>
      </c>
      <c r="F45" s="43" t="s">
        <v>12</v>
      </c>
      <c r="G45" s="54">
        <v>46042</v>
      </c>
      <c r="H45" s="60">
        <v>46042</v>
      </c>
      <c r="I45" s="45">
        <v>919.42</v>
      </c>
      <c r="J45" s="46"/>
      <c r="K45" s="47">
        <f t="shared" si="9"/>
        <v>919.42</v>
      </c>
      <c r="L45" s="37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</row>
    <row r="46" spans="1:49" s="5" customFormat="1" ht="16.5" customHeight="1" x14ac:dyDescent="0.25">
      <c r="A46" s="38" t="str">
        <f t="shared" si="7"/>
        <v>Contrato12026</v>
      </c>
      <c r="B46" s="39" t="str">
        <f t="shared" si="8"/>
        <v>Contrato46042</v>
      </c>
      <c r="C46" s="48" t="s">
        <v>55</v>
      </c>
      <c r="D46" s="41" t="s">
        <v>11</v>
      </c>
      <c r="E46" s="42">
        <f t="shared" si="3"/>
        <v>7508</v>
      </c>
      <c r="F46" s="43" t="s">
        <v>12</v>
      </c>
      <c r="G46" s="54">
        <v>46042</v>
      </c>
      <c r="H46" s="60">
        <v>46042</v>
      </c>
      <c r="I46" s="45">
        <v>553.99</v>
      </c>
      <c r="J46" s="46"/>
      <c r="K46" s="47">
        <f t="shared" si="9"/>
        <v>553.99</v>
      </c>
      <c r="L46" s="37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</row>
    <row r="47" spans="1:49" s="5" customFormat="1" ht="16.5" customHeight="1" x14ac:dyDescent="0.25">
      <c r="A47" s="38" t="str">
        <f t="shared" si="7"/>
        <v>Contrato12026</v>
      </c>
      <c r="B47" s="39" t="str">
        <f t="shared" si="8"/>
        <v>Contrato46048</v>
      </c>
      <c r="C47" s="48" t="s">
        <v>56</v>
      </c>
      <c r="D47" s="41" t="s">
        <v>11</v>
      </c>
      <c r="E47" s="42">
        <f t="shared" si="3"/>
        <v>7509</v>
      </c>
      <c r="F47" s="43" t="s">
        <v>12</v>
      </c>
      <c r="G47" s="54">
        <v>46048</v>
      </c>
      <c r="H47" s="60">
        <v>45682</v>
      </c>
      <c r="I47" s="45">
        <v>674.8</v>
      </c>
      <c r="J47" s="46"/>
      <c r="K47" s="47">
        <f t="shared" si="9"/>
        <v>674.8</v>
      </c>
      <c r="L47" s="37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</row>
    <row r="48" spans="1:49" s="5" customFormat="1" ht="16.5" customHeight="1" x14ac:dyDescent="0.25">
      <c r="A48" s="38" t="str">
        <f t="shared" si="7"/>
        <v>Contrato12026</v>
      </c>
      <c r="B48" s="39" t="str">
        <f t="shared" si="8"/>
        <v>Contrato46048</v>
      </c>
      <c r="C48" s="48" t="s">
        <v>57</v>
      </c>
      <c r="D48" s="41" t="s">
        <v>11</v>
      </c>
      <c r="E48" s="42">
        <f t="shared" si="3"/>
        <v>7510</v>
      </c>
      <c r="F48" s="43" t="s">
        <v>12</v>
      </c>
      <c r="G48" s="54">
        <v>46048</v>
      </c>
      <c r="H48" s="60">
        <v>46047</v>
      </c>
      <c r="I48" s="45">
        <v>421.75</v>
      </c>
      <c r="J48" s="46"/>
      <c r="K48" s="47">
        <f t="shared" si="9"/>
        <v>421.75</v>
      </c>
      <c r="L48" s="37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</row>
    <row r="49" spans="1:49" s="5" customFormat="1" ht="16.5" customHeight="1" thickBot="1" x14ac:dyDescent="0.3">
      <c r="A49" s="72" t="str">
        <f t="shared" si="7"/>
        <v>Contrato12026</v>
      </c>
      <c r="B49" s="73" t="str">
        <f t="shared" si="8"/>
        <v>Contrato46048</v>
      </c>
      <c r="C49" s="74" t="s">
        <v>58</v>
      </c>
      <c r="D49" s="75" t="s">
        <v>11</v>
      </c>
      <c r="E49" s="76">
        <f t="shared" si="3"/>
        <v>7511</v>
      </c>
      <c r="F49" s="77" t="s">
        <v>12</v>
      </c>
      <c r="G49" s="78">
        <v>46048</v>
      </c>
      <c r="H49" s="79">
        <v>46047</v>
      </c>
      <c r="I49" s="80">
        <v>612.96</v>
      </c>
      <c r="J49" s="81"/>
      <c r="K49" s="82">
        <f t="shared" si="9"/>
        <v>612.96</v>
      </c>
      <c r="L49" s="37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</row>
    <row r="50" spans="1:49" s="5" customFormat="1" ht="16.5" customHeight="1" thickBot="1" x14ac:dyDescent="0.35">
      <c r="A50" s="83"/>
      <c r="B50" s="84"/>
      <c r="C50" s="85"/>
      <c r="D50" s="86"/>
      <c r="E50" s="87"/>
      <c r="F50" s="88"/>
      <c r="G50" s="89"/>
      <c r="H50" s="90"/>
      <c r="I50" s="91">
        <f>SUM(I4:I49)</f>
        <v>22332.66</v>
      </c>
      <c r="J50" s="92"/>
      <c r="K50" s="93"/>
      <c r="L50" s="94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</row>
    <row r="51" spans="1:49" ht="30" customHeight="1" thickBot="1" x14ac:dyDescent="0.5">
      <c r="A51" s="95" t="s">
        <v>59</v>
      </c>
      <c r="B51" s="96"/>
      <c r="C51" s="96"/>
      <c r="D51" s="96"/>
      <c r="E51" s="96"/>
      <c r="F51" s="96"/>
      <c r="G51" s="96"/>
      <c r="H51" s="96"/>
      <c r="I51" s="96"/>
      <c r="J51" s="96"/>
      <c r="K51" s="97"/>
    </row>
    <row r="52" spans="1:49" ht="18" customHeight="1" thickBot="1" x14ac:dyDescent="0.3">
      <c r="A52" s="98"/>
      <c r="B52" s="99"/>
      <c r="C52" s="100" t="s">
        <v>1</v>
      </c>
      <c r="D52" s="100" t="s">
        <v>2</v>
      </c>
      <c r="E52" s="101" t="s">
        <v>3</v>
      </c>
      <c r="F52" s="102" t="s">
        <v>4</v>
      </c>
      <c r="G52" s="103" t="s">
        <v>5</v>
      </c>
      <c r="H52" s="104" t="s">
        <v>6</v>
      </c>
      <c r="I52" s="105" t="s">
        <v>7</v>
      </c>
      <c r="J52" s="104"/>
      <c r="K52" s="106" t="s">
        <v>8</v>
      </c>
    </row>
    <row r="53" spans="1:49" ht="16.5" thickBot="1" x14ac:dyDescent="0.3">
      <c r="A53" s="98"/>
      <c r="B53" s="107"/>
      <c r="C53" s="108" t="s">
        <v>60</v>
      </c>
      <c r="D53" s="108"/>
      <c r="E53" s="109"/>
      <c r="F53" s="110"/>
      <c r="G53" s="111"/>
      <c r="H53" s="112"/>
      <c r="I53" s="113"/>
      <c r="J53" s="112"/>
      <c r="K53" s="114"/>
    </row>
    <row r="54" spans="1:49" ht="15.75" x14ac:dyDescent="0.25">
      <c r="A54" s="115" t="str">
        <f>CONCATENATE(D54,MONTH(G54),YEAR(G54))</f>
        <v>Assistencia12026</v>
      </c>
      <c r="B54" s="116" t="str">
        <f>CONCATENATE(D54,G54)</f>
        <v>Assistencia46036</v>
      </c>
      <c r="C54" s="117" t="s">
        <v>33</v>
      </c>
      <c r="D54" s="118" t="s">
        <v>61</v>
      </c>
      <c r="E54" s="119" t="s">
        <v>62</v>
      </c>
      <c r="F54" s="120" t="s">
        <v>63</v>
      </c>
      <c r="G54" s="121">
        <v>46036</v>
      </c>
      <c r="H54" s="122">
        <v>45944</v>
      </c>
      <c r="I54" s="123">
        <v>856.65</v>
      </c>
      <c r="J54" s="124"/>
      <c r="K54" s="125">
        <f>IF(J54="x",,I54)</f>
        <v>856.65</v>
      </c>
    </row>
    <row r="55" spans="1:49" ht="15.75" x14ac:dyDescent="0.25">
      <c r="A55" s="126" t="str">
        <f>CONCATENATE(D55,MONTH(G55),YEAR(G55))</f>
        <v>Assistencia12026</v>
      </c>
      <c r="B55" s="127" t="str">
        <f>CONCATENATE(D55,G55)</f>
        <v>Assistencia46041</v>
      </c>
      <c r="C55" s="64" t="s">
        <v>64</v>
      </c>
      <c r="D55" s="128" t="s">
        <v>61</v>
      </c>
      <c r="E55" s="129" t="s">
        <v>65</v>
      </c>
      <c r="F55" s="66" t="s">
        <v>66</v>
      </c>
      <c r="G55" s="67">
        <v>46041</v>
      </c>
      <c r="H55" s="130">
        <v>45947</v>
      </c>
      <c r="I55" s="69">
        <v>695.8</v>
      </c>
      <c r="J55" s="70"/>
      <c r="K55" s="71">
        <f>IF(J55="x",,I55)</f>
        <v>695.8</v>
      </c>
    </row>
    <row r="56" spans="1:49" ht="15.75" x14ac:dyDescent="0.25">
      <c r="A56" s="131" t="str">
        <f t="shared" ref="A56:A119" si="10">CONCATENATE(D56,MONTH(G56),YEAR(G56))</f>
        <v>Assistencia12026</v>
      </c>
      <c r="B56" s="132" t="str">
        <f t="shared" ref="B56:B119" si="11">CONCATENATE(D56,G56)</f>
        <v>Assistencia46028</v>
      </c>
      <c r="C56" s="133" t="s">
        <v>67</v>
      </c>
      <c r="D56" s="134" t="s">
        <v>61</v>
      </c>
      <c r="E56" s="135" t="s">
        <v>68</v>
      </c>
      <c r="F56" s="136" t="s">
        <v>69</v>
      </c>
      <c r="G56" s="137">
        <v>46028</v>
      </c>
      <c r="H56" s="138">
        <v>46028</v>
      </c>
      <c r="I56" s="139">
        <v>611.11</v>
      </c>
      <c r="J56" s="140"/>
      <c r="K56" s="141">
        <f t="shared" ref="K56:K119" si="12">IF(J56="x",,I56)</f>
        <v>611.11</v>
      </c>
    </row>
    <row r="57" spans="1:49" ht="15.75" x14ac:dyDescent="0.25">
      <c r="A57" s="126" t="str">
        <f t="shared" si="10"/>
        <v>Assistencia12026</v>
      </c>
      <c r="B57" s="127" t="str">
        <f t="shared" si="11"/>
        <v>Assistencia46030</v>
      </c>
      <c r="C57" s="64" t="s">
        <v>46</v>
      </c>
      <c r="D57" s="128" t="s">
        <v>61</v>
      </c>
      <c r="E57" s="129" t="s">
        <v>70</v>
      </c>
      <c r="F57" s="66" t="s">
        <v>71</v>
      </c>
      <c r="G57" s="67">
        <v>46030</v>
      </c>
      <c r="H57" s="130">
        <v>46030</v>
      </c>
      <c r="I57" s="69">
        <v>936.66</v>
      </c>
      <c r="J57" s="70"/>
      <c r="K57" s="71">
        <f t="shared" si="12"/>
        <v>936.66</v>
      </c>
    </row>
    <row r="58" spans="1:49" ht="15.75" x14ac:dyDescent="0.25">
      <c r="A58" s="131" t="str">
        <f t="shared" si="10"/>
        <v>Assistencia12026</v>
      </c>
      <c r="B58" s="132" t="str">
        <f t="shared" si="11"/>
        <v>Assistencia46024</v>
      </c>
      <c r="C58" s="133" t="s">
        <v>42</v>
      </c>
      <c r="D58" s="134" t="s">
        <v>61</v>
      </c>
      <c r="E58" s="135" t="s">
        <v>72</v>
      </c>
      <c r="F58" s="136" t="s">
        <v>73</v>
      </c>
      <c r="G58" s="67">
        <v>46024</v>
      </c>
      <c r="H58" s="130">
        <v>46024</v>
      </c>
      <c r="I58" s="139">
        <v>798.12</v>
      </c>
      <c r="J58" s="140"/>
      <c r="K58" s="141">
        <f t="shared" si="12"/>
        <v>798.12</v>
      </c>
    </row>
    <row r="59" spans="1:49" ht="15.75" x14ac:dyDescent="0.25">
      <c r="A59" s="126" t="str">
        <f t="shared" si="10"/>
        <v>Assistencia12026</v>
      </c>
      <c r="B59" s="127" t="str">
        <f t="shared" si="11"/>
        <v>Assistencia46028</v>
      </c>
      <c r="C59" s="64" t="s">
        <v>74</v>
      </c>
      <c r="D59" s="128" t="s">
        <v>61</v>
      </c>
      <c r="E59" s="129" t="s">
        <v>75</v>
      </c>
      <c r="F59" s="66" t="s">
        <v>76</v>
      </c>
      <c r="G59" s="67">
        <v>46028</v>
      </c>
      <c r="H59" s="130">
        <v>46028</v>
      </c>
      <c r="I59" s="69">
        <v>930</v>
      </c>
      <c r="J59" s="70"/>
      <c r="K59" s="71">
        <f t="shared" si="12"/>
        <v>930</v>
      </c>
    </row>
    <row r="60" spans="1:49" ht="15.75" x14ac:dyDescent="0.25">
      <c r="A60" s="126" t="str">
        <f t="shared" si="10"/>
        <v>Assistencia12026</v>
      </c>
      <c r="B60" s="127" t="str">
        <f t="shared" si="11"/>
        <v>Assistencia46028</v>
      </c>
      <c r="C60" s="64" t="s">
        <v>77</v>
      </c>
      <c r="D60" s="128" t="s">
        <v>61</v>
      </c>
      <c r="E60" s="129" t="s">
        <v>78</v>
      </c>
      <c r="F60" s="66" t="s">
        <v>79</v>
      </c>
      <c r="G60" s="137">
        <v>46028</v>
      </c>
      <c r="H60" s="138">
        <v>46028</v>
      </c>
      <c r="I60" s="69">
        <v>700</v>
      </c>
      <c r="J60" s="70"/>
      <c r="K60" s="71">
        <f t="shared" si="12"/>
        <v>700</v>
      </c>
    </row>
    <row r="61" spans="1:49" ht="15.75" x14ac:dyDescent="0.25">
      <c r="A61" s="126" t="str">
        <f t="shared" si="10"/>
        <v>Assistencia12026</v>
      </c>
      <c r="B61" s="127" t="str">
        <f t="shared" si="11"/>
        <v>Assistencia46035</v>
      </c>
      <c r="C61" s="64" t="s">
        <v>80</v>
      </c>
      <c r="D61" s="128" t="s">
        <v>61</v>
      </c>
      <c r="E61" s="129" t="s">
        <v>81</v>
      </c>
      <c r="F61" s="66" t="s">
        <v>79</v>
      </c>
      <c r="G61" s="67">
        <v>46035</v>
      </c>
      <c r="H61" s="130">
        <v>46035</v>
      </c>
      <c r="I61" s="69">
        <v>779.16</v>
      </c>
      <c r="J61" s="70"/>
      <c r="K61" s="71">
        <f t="shared" si="12"/>
        <v>779.16</v>
      </c>
    </row>
    <row r="62" spans="1:49" ht="15.75" x14ac:dyDescent="0.25">
      <c r="A62" s="126" t="str">
        <f t="shared" si="10"/>
        <v>Assistencia12026</v>
      </c>
      <c r="B62" s="127" t="str">
        <f t="shared" si="11"/>
        <v>Assistencia46045</v>
      </c>
      <c r="C62" s="64" t="s">
        <v>64</v>
      </c>
      <c r="D62" s="128" t="s">
        <v>61</v>
      </c>
      <c r="E62" s="129" t="s">
        <v>82</v>
      </c>
      <c r="F62" s="66" t="s">
        <v>73</v>
      </c>
      <c r="G62" s="67">
        <v>46045</v>
      </c>
      <c r="H62" s="130">
        <v>46016</v>
      </c>
      <c r="I62" s="69">
        <v>372.01</v>
      </c>
      <c r="J62" s="70"/>
      <c r="K62" s="71">
        <f t="shared" si="12"/>
        <v>372.01</v>
      </c>
    </row>
    <row r="63" spans="1:49" ht="15.75" customHeight="1" x14ac:dyDescent="0.25">
      <c r="A63" s="126" t="str">
        <f t="shared" si="10"/>
        <v>Assistencia12026</v>
      </c>
      <c r="B63" s="127" t="str">
        <f t="shared" si="11"/>
        <v>Assistencia46027</v>
      </c>
      <c r="C63" s="64" t="s">
        <v>17</v>
      </c>
      <c r="D63" s="128" t="s">
        <v>61</v>
      </c>
      <c r="E63" s="129" t="s">
        <v>83</v>
      </c>
      <c r="F63" s="66" t="s">
        <v>84</v>
      </c>
      <c r="G63" s="67">
        <v>46027</v>
      </c>
      <c r="H63" s="130">
        <v>46027</v>
      </c>
      <c r="I63" s="69">
        <v>1339.68</v>
      </c>
      <c r="J63" s="70"/>
      <c r="K63" s="71">
        <f t="shared" si="12"/>
        <v>1339.68</v>
      </c>
    </row>
    <row r="64" spans="1:49" ht="15.75" customHeight="1" x14ac:dyDescent="0.25">
      <c r="A64" s="126" t="str">
        <f>CONCATENATE(D64,MONTH(G64),YEAR(G64))</f>
        <v>Assistencia12026</v>
      </c>
      <c r="B64" s="127" t="str">
        <f>CONCATENATE(D64,G64)</f>
        <v>Assistencia46036</v>
      </c>
      <c r="C64" s="64" t="s">
        <v>40</v>
      </c>
      <c r="D64" s="128" t="s">
        <v>61</v>
      </c>
      <c r="E64" s="129" t="s">
        <v>85</v>
      </c>
      <c r="F64" s="66" t="s">
        <v>86</v>
      </c>
      <c r="G64" s="67">
        <v>46036</v>
      </c>
      <c r="H64" s="130">
        <v>45975</v>
      </c>
      <c r="I64" s="69">
        <v>573.75</v>
      </c>
      <c r="J64" s="70"/>
      <c r="K64" s="71">
        <f>IF(J64="x",,I64)</f>
        <v>573.75</v>
      </c>
    </row>
    <row r="65" spans="1:11" ht="15.75" customHeight="1" x14ac:dyDescent="0.25">
      <c r="A65" s="126" t="str">
        <f>CONCATENATE(D65,MONTH(G65),YEAR(G65))</f>
        <v>Assistencia12026</v>
      </c>
      <c r="B65" s="127" t="str">
        <f>CONCATENATE(D65,G65)</f>
        <v>Assistencia46036</v>
      </c>
      <c r="C65" s="64" t="s">
        <v>33</v>
      </c>
      <c r="D65" s="128" t="s">
        <v>61</v>
      </c>
      <c r="E65" s="129" t="s">
        <v>87</v>
      </c>
      <c r="F65" s="66" t="s">
        <v>86</v>
      </c>
      <c r="G65" s="67">
        <v>46036</v>
      </c>
      <c r="H65" s="130">
        <v>45975</v>
      </c>
      <c r="I65" s="69">
        <v>837.5</v>
      </c>
      <c r="J65" s="70"/>
      <c r="K65" s="71">
        <f>IF(J65="x",,I65)</f>
        <v>837.5</v>
      </c>
    </row>
    <row r="66" spans="1:11" ht="15.75" customHeight="1" x14ac:dyDescent="0.25">
      <c r="A66" s="126" t="str">
        <f>CONCATENATE(D66,MONTH(G66),YEAR(G66))</f>
        <v>Assistencia12026</v>
      </c>
      <c r="B66" s="127" t="str">
        <f>CONCATENATE(D66,G66)</f>
        <v>Assistencia46038</v>
      </c>
      <c r="C66" s="64" t="s">
        <v>88</v>
      </c>
      <c r="D66" s="128" t="s">
        <v>61</v>
      </c>
      <c r="E66" s="129" t="s">
        <v>89</v>
      </c>
      <c r="F66" s="66" t="s">
        <v>90</v>
      </c>
      <c r="G66" s="67">
        <v>46038</v>
      </c>
      <c r="H66" s="130">
        <v>45975</v>
      </c>
      <c r="I66" s="69">
        <v>1150</v>
      </c>
      <c r="J66" s="70"/>
      <c r="K66" s="71">
        <f>IF(J66="x",,I66)</f>
        <v>1150</v>
      </c>
    </row>
    <row r="67" spans="1:11" ht="15.75" customHeight="1" x14ac:dyDescent="0.25">
      <c r="A67" s="126" t="str">
        <f>CONCATENATE(D67,MONTH(G67),YEAR(G67))</f>
        <v>Assistencia12026</v>
      </c>
      <c r="B67" s="127" t="str">
        <f>CONCATENATE(D67,G67)</f>
        <v>Assistencia46038</v>
      </c>
      <c r="C67" s="64" t="s">
        <v>91</v>
      </c>
      <c r="D67" s="128" t="s">
        <v>61</v>
      </c>
      <c r="E67" s="129" t="s">
        <v>92</v>
      </c>
      <c r="F67" s="66" t="s">
        <v>90</v>
      </c>
      <c r="G67" s="67">
        <v>46038</v>
      </c>
      <c r="H67" s="130">
        <v>45975</v>
      </c>
      <c r="I67" s="69">
        <v>558.29</v>
      </c>
      <c r="J67" s="70"/>
      <c r="K67" s="71">
        <f>IF(J67="x",,I67)</f>
        <v>558.29</v>
      </c>
    </row>
    <row r="68" spans="1:11" ht="15.75" x14ac:dyDescent="0.25">
      <c r="A68" s="126" t="str">
        <f t="shared" ref="A68:A69" si="13">CONCATENATE(D68,MONTH(G68),YEAR(G68))</f>
        <v>Assistencia12026</v>
      </c>
      <c r="B68" s="127" t="str">
        <f t="shared" ref="B68:B69" si="14">CONCATENATE(D68,G68)</f>
        <v>Assistencia46037</v>
      </c>
      <c r="C68" s="64" t="s">
        <v>93</v>
      </c>
      <c r="D68" s="128" t="s">
        <v>61</v>
      </c>
      <c r="E68" s="129" t="s">
        <v>94</v>
      </c>
      <c r="F68" s="66" t="s">
        <v>12</v>
      </c>
      <c r="G68" s="137">
        <v>46037</v>
      </c>
      <c r="H68" s="138">
        <v>46037</v>
      </c>
      <c r="I68" s="69">
        <v>512.5</v>
      </c>
      <c r="J68" s="70"/>
      <c r="K68" s="71">
        <f t="shared" ref="K68:K69" si="15">IF(J68="x",,I68)</f>
        <v>512.5</v>
      </c>
    </row>
    <row r="69" spans="1:11" ht="15.75" customHeight="1" x14ac:dyDescent="0.25">
      <c r="A69" s="126" t="str">
        <f t="shared" si="13"/>
        <v>Assistencia12026</v>
      </c>
      <c r="B69" s="127" t="str">
        <f t="shared" si="14"/>
        <v>Assistencia46050</v>
      </c>
      <c r="C69" s="64" t="s">
        <v>95</v>
      </c>
      <c r="D69" s="128" t="s">
        <v>61</v>
      </c>
      <c r="E69" s="129" t="s">
        <v>96</v>
      </c>
      <c r="F69" s="66" t="s">
        <v>97</v>
      </c>
      <c r="G69" s="67">
        <v>46050</v>
      </c>
      <c r="H69" s="130">
        <v>46020</v>
      </c>
      <c r="I69" s="69">
        <v>550</v>
      </c>
      <c r="J69" s="70"/>
      <c r="K69" s="71">
        <f t="shared" si="15"/>
        <v>550</v>
      </c>
    </row>
    <row r="70" spans="1:11" ht="15.75" x14ac:dyDescent="0.25">
      <c r="A70" s="126" t="str">
        <f t="shared" si="10"/>
        <v>Assistencia12026</v>
      </c>
      <c r="B70" s="127" t="str">
        <f t="shared" si="11"/>
        <v>Assistencia46027</v>
      </c>
      <c r="C70" s="64" t="s">
        <v>98</v>
      </c>
      <c r="D70" s="128" t="s">
        <v>61</v>
      </c>
      <c r="E70" s="129" t="s">
        <v>99</v>
      </c>
      <c r="F70" s="66" t="s">
        <v>100</v>
      </c>
      <c r="G70" s="67">
        <v>46027</v>
      </c>
      <c r="H70" s="130">
        <v>46027</v>
      </c>
      <c r="I70" s="69">
        <v>750</v>
      </c>
      <c r="J70" s="70"/>
      <c r="K70" s="71">
        <f t="shared" si="12"/>
        <v>750</v>
      </c>
    </row>
    <row r="71" spans="1:11" ht="15.75" x14ac:dyDescent="0.25">
      <c r="A71" s="126" t="str">
        <f t="shared" si="10"/>
        <v>Assistencia12026</v>
      </c>
      <c r="B71" s="127" t="str">
        <f t="shared" si="11"/>
        <v>Assistencia46038</v>
      </c>
      <c r="C71" s="64" t="s">
        <v>54</v>
      </c>
      <c r="D71" s="128" t="s">
        <v>61</v>
      </c>
      <c r="E71" s="129" t="s">
        <v>101</v>
      </c>
      <c r="F71" s="66" t="s">
        <v>100</v>
      </c>
      <c r="G71" s="67">
        <v>46038</v>
      </c>
      <c r="H71" s="130">
        <v>46007</v>
      </c>
      <c r="I71" s="69">
        <v>700</v>
      </c>
      <c r="J71" s="70"/>
      <c r="K71" s="71">
        <f t="shared" si="12"/>
        <v>700</v>
      </c>
    </row>
    <row r="72" spans="1:11" ht="15.75" x14ac:dyDescent="0.25">
      <c r="A72" s="126" t="str">
        <f t="shared" si="10"/>
        <v>Assistencia12026</v>
      </c>
      <c r="B72" s="127" t="str">
        <f t="shared" si="11"/>
        <v>Assistencia46038</v>
      </c>
      <c r="C72" s="64" t="s">
        <v>102</v>
      </c>
      <c r="D72" s="128" t="s">
        <v>61</v>
      </c>
      <c r="E72" s="129" t="s">
        <v>103</v>
      </c>
      <c r="F72" s="66" t="s">
        <v>100</v>
      </c>
      <c r="G72" s="67">
        <v>46038</v>
      </c>
      <c r="H72" s="130">
        <v>46007</v>
      </c>
      <c r="I72" s="69">
        <v>900</v>
      </c>
      <c r="J72" s="70"/>
      <c r="K72" s="71">
        <f t="shared" si="12"/>
        <v>900</v>
      </c>
    </row>
    <row r="73" spans="1:11" ht="15.75" x14ac:dyDescent="0.25">
      <c r="A73" s="126" t="str">
        <f t="shared" si="10"/>
        <v>Assistencia12026</v>
      </c>
      <c r="B73" s="127" t="str">
        <f t="shared" si="11"/>
        <v>Assistencia46045</v>
      </c>
      <c r="C73" s="64" t="s">
        <v>104</v>
      </c>
      <c r="D73" s="128" t="s">
        <v>61</v>
      </c>
      <c r="E73" s="129" t="s">
        <v>105</v>
      </c>
      <c r="F73" s="66" t="s">
        <v>100</v>
      </c>
      <c r="G73" s="67">
        <v>46045</v>
      </c>
      <c r="H73" s="130">
        <v>46007</v>
      </c>
      <c r="I73" s="69">
        <v>523.75</v>
      </c>
      <c r="J73" s="70"/>
      <c r="K73" s="71">
        <f t="shared" si="12"/>
        <v>523.75</v>
      </c>
    </row>
    <row r="74" spans="1:11" ht="15.75" x14ac:dyDescent="0.25">
      <c r="A74" s="142" t="str">
        <f t="shared" si="10"/>
        <v>Assistencia12026</v>
      </c>
      <c r="B74" s="143" t="str">
        <f t="shared" si="11"/>
        <v>Assistencia46041</v>
      </c>
      <c r="C74" s="41" t="s">
        <v>54</v>
      </c>
      <c r="D74" s="144" t="s">
        <v>61</v>
      </c>
      <c r="E74" s="145" t="s">
        <v>106</v>
      </c>
      <c r="F74" s="43" t="s">
        <v>107</v>
      </c>
      <c r="G74" s="54">
        <v>46041</v>
      </c>
      <c r="H74" s="146">
        <v>46010</v>
      </c>
      <c r="I74" s="45">
        <v>800</v>
      </c>
      <c r="J74" s="46"/>
      <c r="K74" s="47">
        <f t="shared" si="12"/>
        <v>800</v>
      </c>
    </row>
    <row r="75" spans="1:11" ht="15.75" x14ac:dyDescent="0.25">
      <c r="A75" s="142" t="str">
        <f t="shared" si="10"/>
        <v>Assistencia12026</v>
      </c>
      <c r="B75" s="143" t="str">
        <f t="shared" si="11"/>
        <v>Assistencia46041</v>
      </c>
      <c r="C75" s="41" t="s">
        <v>108</v>
      </c>
      <c r="D75" s="144" t="s">
        <v>61</v>
      </c>
      <c r="E75" s="145" t="s">
        <v>109</v>
      </c>
      <c r="F75" s="43" t="s">
        <v>107</v>
      </c>
      <c r="G75" s="54">
        <v>46041</v>
      </c>
      <c r="H75" s="146">
        <v>46010</v>
      </c>
      <c r="I75" s="45">
        <v>545</v>
      </c>
      <c r="J75" s="46"/>
      <c r="K75" s="47">
        <f t="shared" si="12"/>
        <v>545</v>
      </c>
    </row>
    <row r="76" spans="1:11" ht="15.75" x14ac:dyDescent="0.25">
      <c r="A76" s="126" t="str">
        <f t="shared" si="10"/>
        <v>Assistencia12026</v>
      </c>
      <c r="B76" s="127" t="str">
        <f t="shared" si="11"/>
        <v>Assistencia46024</v>
      </c>
      <c r="C76" s="64" t="s">
        <v>56</v>
      </c>
      <c r="D76" s="128" t="s">
        <v>61</v>
      </c>
      <c r="E76" s="129" t="s">
        <v>110</v>
      </c>
      <c r="F76" s="66" t="s">
        <v>100</v>
      </c>
      <c r="G76" s="137">
        <v>46024</v>
      </c>
      <c r="H76" s="138">
        <v>46024</v>
      </c>
      <c r="I76" s="69">
        <v>725</v>
      </c>
      <c r="J76" s="70"/>
      <c r="K76" s="71">
        <f t="shared" si="12"/>
        <v>725</v>
      </c>
    </row>
    <row r="77" spans="1:11" ht="15.75" customHeight="1" x14ac:dyDescent="0.25">
      <c r="A77" s="126" t="str">
        <f t="shared" si="10"/>
        <v>Assistencia12026</v>
      </c>
      <c r="B77" s="127" t="str">
        <f t="shared" si="11"/>
        <v>Assistencia46037</v>
      </c>
      <c r="C77" s="64" t="s">
        <v>40</v>
      </c>
      <c r="D77" s="128" t="s">
        <v>61</v>
      </c>
      <c r="E77" s="129" t="s">
        <v>111</v>
      </c>
      <c r="F77" s="66" t="s">
        <v>112</v>
      </c>
      <c r="G77" s="137">
        <v>46037</v>
      </c>
      <c r="H77" s="138">
        <v>46036</v>
      </c>
      <c r="I77" s="69">
        <v>1729.18</v>
      </c>
      <c r="J77" s="70"/>
      <c r="K77" s="71">
        <f t="shared" si="12"/>
        <v>1729.18</v>
      </c>
    </row>
    <row r="78" spans="1:11" ht="15.75" x14ac:dyDescent="0.25">
      <c r="A78" s="147" t="str">
        <f t="shared" si="10"/>
        <v>Assistencia12026</v>
      </c>
      <c r="B78" s="148" t="str">
        <f t="shared" si="11"/>
        <v>Assistencia46036</v>
      </c>
      <c r="C78" s="29" t="s">
        <v>113</v>
      </c>
      <c r="D78" s="149" t="s">
        <v>61</v>
      </c>
      <c r="E78" s="150" t="s">
        <v>114</v>
      </c>
      <c r="F78" s="31" t="s">
        <v>12</v>
      </c>
      <c r="G78" s="32">
        <v>46036</v>
      </c>
      <c r="H78" s="151">
        <v>46036</v>
      </c>
      <c r="I78" s="34">
        <v>210.88</v>
      </c>
      <c r="J78" s="35"/>
      <c r="K78" s="36">
        <f t="shared" si="12"/>
        <v>210.88</v>
      </c>
    </row>
    <row r="79" spans="1:11" ht="15.75" x14ac:dyDescent="0.25">
      <c r="A79" s="142" t="str">
        <f t="shared" si="10"/>
        <v>Assistencia12026</v>
      </c>
      <c r="B79" s="143" t="str">
        <f t="shared" si="11"/>
        <v>Assistencia46036</v>
      </c>
      <c r="C79" s="41" t="s">
        <v>115</v>
      </c>
      <c r="D79" s="144" t="s">
        <v>61</v>
      </c>
      <c r="E79" s="145" t="s">
        <v>116</v>
      </c>
      <c r="F79" s="43" t="s">
        <v>12</v>
      </c>
      <c r="G79" s="54">
        <v>46036</v>
      </c>
      <c r="H79" s="146">
        <v>46036</v>
      </c>
      <c r="I79" s="45">
        <v>210.88</v>
      </c>
      <c r="J79" s="46"/>
      <c r="K79" s="47">
        <f t="shared" si="12"/>
        <v>210.88</v>
      </c>
    </row>
    <row r="80" spans="1:11" ht="15.75" x14ac:dyDescent="0.25">
      <c r="A80" s="147" t="str">
        <f t="shared" si="10"/>
        <v>Assistencia12026</v>
      </c>
      <c r="B80" s="148" t="str">
        <f t="shared" si="11"/>
        <v>Assistencia46036</v>
      </c>
      <c r="C80" s="29" t="s">
        <v>117</v>
      </c>
      <c r="D80" s="149" t="s">
        <v>61</v>
      </c>
      <c r="E80" s="150" t="s">
        <v>118</v>
      </c>
      <c r="F80" s="31" t="s">
        <v>12</v>
      </c>
      <c r="G80" s="54">
        <v>46036</v>
      </c>
      <c r="H80" s="151">
        <v>46036</v>
      </c>
      <c r="I80" s="34">
        <v>210.88</v>
      </c>
      <c r="J80" s="35"/>
      <c r="K80" s="36">
        <f t="shared" si="12"/>
        <v>210.88</v>
      </c>
    </row>
    <row r="81" spans="1:11" ht="15.75" x14ac:dyDescent="0.25">
      <c r="A81" s="142" t="str">
        <f t="shared" si="10"/>
        <v>Assistencia12026</v>
      </c>
      <c r="B81" s="143" t="str">
        <f t="shared" si="11"/>
        <v>Assistencia46035</v>
      </c>
      <c r="C81" s="41" t="s">
        <v>119</v>
      </c>
      <c r="D81" s="144" t="s">
        <v>61</v>
      </c>
      <c r="E81" s="145" t="s">
        <v>120</v>
      </c>
      <c r="F81" s="43" t="s">
        <v>12</v>
      </c>
      <c r="G81" s="54">
        <v>46035</v>
      </c>
      <c r="H81" s="146">
        <v>46036</v>
      </c>
      <c r="I81" s="45">
        <v>210.88</v>
      </c>
      <c r="J81" s="46"/>
      <c r="K81" s="47">
        <f t="shared" si="12"/>
        <v>210.88</v>
      </c>
    </row>
    <row r="82" spans="1:11" ht="15.75" x14ac:dyDescent="0.25">
      <c r="A82" s="142" t="str">
        <f t="shared" si="10"/>
        <v>Assistencia12026</v>
      </c>
      <c r="B82" s="143" t="str">
        <f t="shared" si="11"/>
        <v>Assistencia46036</v>
      </c>
      <c r="C82" s="41" t="s">
        <v>121</v>
      </c>
      <c r="D82" s="144" t="s">
        <v>61</v>
      </c>
      <c r="E82" s="145" t="s">
        <v>122</v>
      </c>
      <c r="F82" s="43" t="s">
        <v>12</v>
      </c>
      <c r="G82" s="54">
        <v>46036</v>
      </c>
      <c r="H82" s="146">
        <v>46036</v>
      </c>
      <c r="I82" s="45">
        <v>337.4</v>
      </c>
      <c r="J82" s="46"/>
      <c r="K82" s="47">
        <f t="shared" si="12"/>
        <v>337.4</v>
      </c>
    </row>
    <row r="83" spans="1:11" ht="15.75" x14ac:dyDescent="0.25">
      <c r="A83" s="147" t="str">
        <f t="shared" si="10"/>
        <v>Assistencia12026</v>
      </c>
      <c r="B83" s="148" t="str">
        <f t="shared" si="11"/>
        <v>Assistencia46036</v>
      </c>
      <c r="C83" s="29" t="s">
        <v>123</v>
      </c>
      <c r="D83" s="149" t="s">
        <v>61</v>
      </c>
      <c r="E83" s="150" t="s">
        <v>124</v>
      </c>
      <c r="F83" s="31" t="s">
        <v>12</v>
      </c>
      <c r="G83" s="54">
        <v>46036</v>
      </c>
      <c r="H83" s="151">
        <v>46036</v>
      </c>
      <c r="I83" s="34">
        <v>210.88</v>
      </c>
      <c r="J83" s="35"/>
      <c r="K83" s="36">
        <f t="shared" si="12"/>
        <v>210.88</v>
      </c>
    </row>
    <row r="84" spans="1:11" ht="15.75" x14ac:dyDescent="0.25">
      <c r="A84" s="142" t="str">
        <f t="shared" si="10"/>
        <v>Assistencia12026</v>
      </c>
      <c r="B84" s="143" t="str">
        <f t="shared" si="11"/>
        <v>Assistencia46050</v>
      </c>
      <c r="C84" s="41" t="s">
        <v>125</v>
      </c>
      <c r="D84" s="144" t="s">
        <v>61</v>
      </c>
      <c r="E84" s="145" t="s">
        <v>126</v>
      </c>
      <c r="F84" s="43" t="s">
        <v>12</v>
      </c>
      <c r="G84" s="32">
        <v>46050</v>
      </c>
      <c r="H84" s="151">
        <v>46050</v>
      </c>
      <c r="I84" s="45">
        <v>236.18</v>
      </c>
      <c r="J84" s="46" t="s">
        <v>127</v>
      </c>
      <c r="K84" s="47">
        <f t="shared" si="12"/>
        <v>236.18</v>
      </c>
    </row>
    <row r="85" spans="1:11" ht="15.75" x14ac:dyDescent="0.25">
      <c r="A85" s="142" t="str">
        <f t="shared" si="10"/>
        <v>Assistencia12026</v>
      </c>
      <c r="B85" s="143" t="str">
        <f t="shared" si="11"/>
        <v>Assistencia46050</v>
      </c>
      <c r="C85" s="41" t="s">
        <v>91</v>
      </c>
      <c r="D85" s="144" t="s">
        <v>61</v>
      </c>
      <c r="E85" s="145" t="s">
        <v>128</v>
      </c>
      <c r="F85" s="43" t="s">
        <v>12</v>
      </c>
      <c r="G85" s="32">
        <v>46050</v>
      </c>
      <c r="H85" s="151">
        <v>46050</v>
      </c>
      <c r="I85" s="45">
        <v>236.18</v>
      </c>
      <c r="J85" s="46" t="s">
        <v>127</v>
      </c>
      <c r="K85" s="47">
        <f t="shared" si="12"/>
        <v>236.18</v>
      </c>
    </row>
    <row r="86" spans="1:11" ht="15.75" x14ac:dyDescent="0.25">
      <c r="A86" s="142" t="str">
        <f t="shared" si="10"/>
        <v>Assistencia12026</v>
      </c>
      <c r="B86" s="143" t="str">
        <f t="shared" si="11"/>
        <v>Assistencia46050</v>
      </c>
      <c r="C86" s="41" t="s">
        <v>129</v>
      </c>
      <c r="D86" s="144" t="s">
        <v>61</v>
      </c>
      <c r="E86" s="145" t="s">
        <v>130</v>
      </c>
      <c r="F86" s="43" t="s">
        <v>12</v>
      </c>
      <c r="G86" s="32">
        <v>46050</v>
      </c>
      <c r="H86" s="151">
        <v>46050</v>
      </c>
      <c r="I86" s="45">
        <v>280</v>
      </c>
      <c r="J86" s="46" t="s">
        <v>127</v>
      </c>
      <c r="K86" s="47">
        <f t="shared" si="12"/>
        <v>280</v>
      </c>
    </row>
    <row r="87" spans="1:11" ht="15.75" x14ac:dyDescent="0.25">
      <c r="A87" s="142" t="str">
        <f t="shared" si="10"/>
        <v>Assistencia12026</v>
      </c>
      <c r="B87" s="143" t="str">
        <f t="shared" si="11"/>
        <v>Assistencia46050</v>
      </c>
      <c r="C87" s="41" t="s">
        <v>131</v>
      </c>
      <c r="D87" s="144" t="s">
        <v>61</v>
      </c>
      <c r="E87" s="145" t="s">
        <v>132</v>
      </c>
      <c r="F87" s="43" t="s">
        <v>12</v>
      </c>
      <c r="G87" s="32">
        <v>46050</v>
      </c>
      <c r="H87" s="151">
        <v>46050</v>
      </c>
      <c r="I87" s="45">
        <v>379.58</v>
      </c>
      <c r="J87" s="46" t="s">
        <v>127</v>
      </c>
      <c r="K87" s="47">
        <f t="shared" si="12"/>
        <v>379.58</v>
      </c>
    </row>
    <row r="88" spans="1:11" ht="15.75" x14ac:dyDescent="0.25">
      <c r="A88" s="142" t="str">
        <f t="shared" si="10"/>
        <v>Assistencia12026</v>
      </c>
      <c r="B88" s="143" t="str">
        <f t="shared" si="11"/>
        <v>Assistencia46050</v>
      </c>
      <c r="C88" s="41" t="s">
        <v>133</v>
      </c>
      <c r="D88" s="144" t="s">
        <v>61</v>
      </c>
      <c r="E88" s="145" t="s">
        <v>134</v>
      </c>
      <c r="F88" s="43" t="s">
        <v>12</v>
      </c>
      <c r="G88" s="32">
        <v>46050</v>
      </c>
      <c r="H88" s="151">
        <v>46050</v>
      </c>
      <c r="I88" s="45">
        <v>280</v>
      </c>
      <c r="J88" s="46" t="s">
        <v>127</v>
      </c>
      <c r="K88" s="47">
        <f t="shared" si="12"/>
        <v>280</v>
      </c>
    </row>
    <row r="89" spans="1:11" ht="15.75" x14ac:dyDescent="0.25">
      <c r="A89" s="142" t="str">
        <f t="shared" si="10"/>
        <v>Assistencia12026</v>
      </c>
      <c r="B89" s="143" t="str">
        <f t="shared" si="11"/>
        <v>Assistencia46050</v>
      </c>
      <c r="C89" s="41" t="s">
        <v>24</v>
      </c>
      <c r="D89" s="144" t="s">
        <v>61</v>
      </c>
      <c r="E89" s="145" t="s">
        <v>135</v>
      </c>
      <c r="F89" s="43" t="s">
        <v>12</v>
      </c>
      <c r="G89" s="32">
        <v>46050</v>
      </c>
      <c r="H89" s="151">
        <v>46050</v>
      </c>
      <c r="I89" s="45">
        <v>632.62</v>
      </c>
      <c r="J89" s="46" t="s">
        <v>127</v>
      </c>
      <c r="K89" s="47">
        <f t="shared" si="12"/>
        <v>632.62</v>
      </c>
    </row>
    <row r="90" spans="1:11" ht="15.75" x14ac:dyDescent="0.25">
      <c r="A90" s="126" t="str">
        <f t="shared" si="10"/>
        <v>Assistencia12026</v>
      </c>
      <c r="B90" s="127" t="str">
        <f t="shared" si="11"/>
        <v>Assistencia46037</v>
      </c>
      <c r="C90" s="64" t="s">
        <v>93</v>
      </c>
      <c r="D90" s="128" t="s">
        <v>61</v>
      </c>
      <c r="E90" s="129" t="s">
        <v>136</v>
      </c>
      <c r="F90" s="66" t="s">
        <v>137</v>
      </c>
      <c r="G90" s="137">
        <v>46037</v>
      </c>
      <c r="H90" s="138">
        <v>46037</v>
      </c>
      <c r="I90" s="69">
        <v>1566.17</v>
      </c>
      <c r="J90" s="70"/>
      <c r="K90" s="71">
        <f t="shared" si="12"/>
        <v>1566.17</v>
      </c>
    </row>
    <row r="91" spans="1:11" ht="15.75" x14ac:dyDescent="0.25">
      <c r="A91" s="142" t="str">
        <f t="shared" si="10"/>
        <v>Assistencia12026</v>
      </c>
      <c r="B91" s="143" t="str">
        <f t="shared" si="11"/>
        <v>Assistencia46038</v>
      </c>
      <c r="C91" s="41" t="s">
        <v>138</v>
      </c>
      <c r="D91" s="144" t="s">
        <v>61</v>
      </c>
      <c r="E91" s="145" t="s">
        <v>139</v>
      </c>
      <c r="F91" s="43" t="s">
        <v>107</v>
      </c>
      <c r="G91" s="32">
        <v>46038</v>
      </c>
      <c r="H91" s="151">
        <v>46038</v>
      </c>
      <c r="I91" s="45">
        <v>750</v>
      </c>
      <c r="J91" s="46"/>
      <c r="K91" s="47">
        <f t="shared" si="12"/>
        <v>750</v>
      </c>
    </row>
    <row r="92" spans="1:11" ht="15.75" x14ac:dyDescent="0.25">
      <c r="A92" s="142" t="str">
        <f t="shared" si="10"/>
        <v>Assistencia12026</v>
      </c>
      <c r="B92" s="143" t="str">
        <f t="shared" si="11"/>
        <v>Assistencia46037</v>
      </c>
      <c r="C92" s="41" t="s">
        <v>38</v>
      </c>
      <c r="D92" s="144" t="s">
        <v>61</v>
      </c>
      <c r="E92" s="145" t="s">
        <v>140</v>
      </c>
      <c r="F92" s="43" t="s">
        <v>12</v>
      </c>
      <c r="G92" s="54">
        <v>46037</v>
      </c>
      <c r="H92" s="146">
        <v>46037</v>
      </c>
      <c r="I92" s="45">
        <v>350</v>
      </c>
      <c r="J92" s="46" t="s">
        <v>127</v>
      </c>
      <c r="K92" s="47">
        <f t="shared" si="12"/>
        <v>350</v>
      </c>
    </row>
    <row r="93" spans="1:11" ht="15.75" x14ac:dyDescent="0.25">
      <c r="A93" s="142" t="str">
        <f t="shared" si="10"/>
        <v>Assistencia12026</v>
      </c>
      <c r="B93" s="143" t="str">
        <f t="shared" si="11"/>
        <v>Assistencia46037</v>
      </c>
      <c r="C93" s="41" t="s">
        <v>45</v>
      </c>
      <c r="D93" s="144" t="s">
        <v>61</v>
      </c>
      <c r="E93" s="145" t="s">
        <v>141</v>
      </c>
      <c r="F93" s="43" t="s">
        <v>12</v>
      </c>
      <c r="G93" s="54">
        <v>46037</v>
      </c>
      <c r="H93" s="146">
        <v>46037</v>
      </c>
      <c r="I93" s="45">
        <v>350</v>
      </c>
      <c r="J93" s="46" t="s">
        <v>127</v>
      </c>
      <c r="K93" s="47">
        <f t="shared" si="12"/>
        <v>350</v>
      </c>
    </row>
    <row r="94" spans="1:11" ht="15.75" x14ac:dyDescent="0.25">
      <c r="A94" s="142" t="str">
        <f t="shared" si="10"/>
        <v>Assistencia12026</v>
      </c>
      <c r="B94" s="143" t="str">
        <f t="shared" si="11"/>
        <v>Assistencia46037</v>
      </c>
      <c r="C94" s="41" t="s">
        <v>35</v>
      </c>
      <c r="D94" s="144" t="s">
        <v>61</v>
      </c>
      <c r="E94" s="145" t="s">
        <v>142</v>
      </c>
      <c r="F94" s="43" t="s">
        <v>12</v>
      </c>
      <c r="G94" s="54">
        <v>46037</v>
      </c>
      <c r="H94" s="146">
        <v>46037</v>
      </c>
      <c r="I94" s="45">
        <v>350</v>
      </c>
      <c r="J94" s="46" t="s">
        <v>127</v>
      </c>
      <c r="K94" s="47">
        <f t="shared" si="12"/>
        <v>350</v>
      </c>
    </row>
    <row r="95" spans="1:11" ht="15.75" x14ac:dyDescent="0.25">
      <c r="A95" s="126" t="str">
        <f t="shared" si="10"/>
        <v>Assistencia12026</v>
      </c>
      <c r="B95" s="127" t="str">
        <f t="shared" si="11"/>
        <v>Assistencia46041</v>
      </c>
      <c r="C95" s="64" t="s">
        <v>36</v>
      </c>
      <c r="D95" s="128" t="s">
        <v>61</v>
      </c>
      <c r="E95" s="129" t="s">
        <v>143</v>
      </c>
      <c r="F95" s="66" t="s">
        <v>144</v>
      </c>
      <c r="G95" s="67">
        <v>46041</v>
      </c>
      <c r="H95" s="130">
        <v>46037</v>
      </c>
      <c r="I95" s="69">
        <v>1250</v>
      </c>
      <c r="J95" s="70" t="s">
        <v>127</v>
      </c>
      <c r="K95" s="71">
        <f t="shared" si="12"/>
        <v>1250</v>
      </c>
    </row>
    <row r="96" spans="1:11" ht="15.75" x14ac:dyDescent="0.25">
      <c r="A96" s="147" t="str">
        <f t="shared" si="10"/>
        <v>Assistencia12026</v>
      </c>
      <c r="B96" s="148" t="str">
        <f t="shared" si="11"/>
        <v>Assistencia46037</v>
      </c>
      <c r="C96" s="29" t="s">
        <v>40</v>
      </c>
      <c r="D96" s="149" t="s">
        <v>61</v>
      </c>
      <c r="E96" s="150" t="s">
        <v>145</v>
      </c>
      <c r="F96" s="31" t="s">
        <v>12</v>
      </c>
      <c r="G96" s="32">
        <v>46037</v>
      </c>
      <c r="H96" s="151">
        <v>46037</v>
      </c>
      <c r="I96" s="34">
        <v>350</v>
      </c>
      <c r="J96" s="35" t="s">
        <v>127</v>
      </c>
      <c r="K96" s="36">
        <f t="shared" si="12"/>
        <v>350</v>
      </c>
    </row>
    <row r="97" spans="1:11" ht="15.75" x14ac:dyDescent="0.25">
      <c r="A97" s="142" t="str">
        <f t="shared" si="10"/>
        <v>Assistencia12026</v>
      </c>
      <c r="B97" s="143" t="str">
        <f t="shared" si="11"/>
        <v>Assistencia46037</v>
      </c>
      <c r="C97" s="41" t="s">
        <v>38</v>
      </c>
      <c r="D97" s="144" t="s">
        <v>61</v>
      </c>
      <c r="E97" s="145" t="s">
        <v>146</v>
      </c>
      <c r="F97" s="43" t="s">
        <v>144</v>
      </c>
      <c r="G97" s="54">
        <v>46037</v>
      </c>
      <c r="H97" s="146">
        <v>46037</v>
      </c>
      <c r="I97" s="45">
        <v>1800</v>
      </c>
      <c r="J97" s="46" t="s">
        <v>127</v>
      </c>
      <c r="K97" s="47">
        <f t="shared" si="12"/>
        <v>1800</v>
      </c>
    </row>
    <row r="98" spans="1:11" ht="15.75" x14ac:dyDescent="0.25">
      <c r="A98" s="142" t="str">
        <f t="shared" si="10"/>
        <v>Assistencia12026</v>
      </c>
      <c r="B98" s="143" t="str">
        <f t="shared" si="11"/>
        <v>Assistencia46037</v>
      </c>
      <c r="C98" s="41" t="s">
        <v>43</v>
      </c>
      <c r="D98" s="144" t="s">
        <v>61</v>
      </c>
      <c r="E98" s="145" t="s">
        <v>147</v>
      </c>
      <c r="F98" s="43" t="s">
        <v>144</v>
      </c>
      <c r="G98" s="54">
        <v>46037</v>
      </c>
      <c r="H98" s="146">
        <v>46037</v>
      </c>
      <c r="I98" s="45">
        <v>450</v>
      </c>
      <c r="J98" s="46" t="s">
        <v>127</v>
      </c>
      <c r="K98" s="47">
        <f t="shared" si="12"/>
        <v>450</v>
      </c>
    </row>
    <row r="99" spans="1:11" ht="15.75" x14ac:dyDescent="0.25">
      <c r="A99" s="126" t="str">
        <f t="shared" si="10"/>
        <v>Assistencia12026</v>
      </c>
      <c r="B99" s="127" t="str">
        <f t="shared" si="11"/>
        <v>Assistencia46041</v>
      </c>
      <c r="C99" s="64" t="s">
        <v>117</v>
      </c>
      <c r="D99" s="128" t="s">
        <v>61</v>
      </c>
      <c r="E99" s="129" t="s">
        <v>148</v>
      </c>
      <c r="F99" s="66" t="s">
        <v>144</v>
      </c>
      <c r="G99" s="67">
        <v>46041</v>
      </c>
      <c r="H99" s="130">
        <v>46041</v>
      </c>
      <c r="I99" s="69">
        <v>750</v>
      </c>
      <c r="J99" s="70" t="s">
        <v>127</v>
      </c>
      <c r="K99" s="71">
        <f t="shared" si="12"/>
        <v>750</v>
      </c>
    </row>
    <row r="100" spans="1:11" ht="15.75" x14ac:dyDescent="0.25">
      <c r="A100" s="142" t="str">
        <f t="shared" si="10"/>
        <v>Assistencia12026</v>
      </c>
      <c r="B100" s="143" t="str">
        <f t="shared" si="11"/>
        <v>Assistencia46041</v>
      </c>
      <c r="C100" s="41" t="s">
        <v>23</v>
      </c>
      <c r="D100" s="144" t="s">
        <v>61</v>
      </c>
      <c r="E100" s="145" t="s">
        <v>149</v>
      </c>
      <c r="F100" s="43" t="s">
        <v>12</v>
      </c>
      <c r="G100" s="54">
        <v>46041</v>
      </c>
      <c r="H100" s="146">
        <v>46041</v>
      </c>
      <c r="I100" s="45">
        <v>250</v>
      </c>
      <c r="J100" s="46" t="s">
        <v>127</v>
      </c>
      <c r="K100" s="47">
        <f t="shared" si="12"/>
        <v>250</v>
      </c>
    </row>
    <row r="101" spans="1:11" ht="15.75" x14ac:dyDescent="0.25">
      <c r="A101" s="126" t="str">
        <f t="shared" si="10"/>
        <v>Assistencia12026</v>
      </c>
      <c r="B101" s="127" t="str">
        <f t="shared" si="11"/>
        <v>Assistencia46052</v>
      </c>
      <c r="C101" s="64" t="s">
        <v>150</v>
      </c>
      <c r="D101" s="128" t="s">
        <v>61</v>
      </c>
      <c r="E101" s="129" t="s">
        <v>151</v>
      </c>
      <c r="F101" s="66" t="s">
        <v>12</v>
      </c>
      <c r="G101" s="67">
        <v>46052</v>
      </c>
      <c r="H101" s="130">
        <v>46052</v>
      </c>
      <c r="I101" s="69">
        <v>1150</v>
      </c>
      <c r="J101" s="70" t="s">
        <v>127</v>
      </c>
      <c r="K101" s="71">
        <f t="shared" si="12"/>
        <v>1150</v>
      </c>
    </row>
    <row r="102" spans="1:11" ht="15.75" x14ac:dyDescent="0.25">
      <c r="A102" s="126" t="str">
        <f t="shared" si="10"/>
        <v>Assistencia12026</v>
      </c>
      <c r="B102" s="127" t="str">
        <f t="shared" si="11"/>
        <v>Assistencia46042</v>
      </c>
      <c r="C102" s="64" t="s">
        <v>21</v>
      </c>
      <c r="D102" s="128" t="s">
        <v>61</v>
      </c>
      <c r="E102" s="129" t="s">
        <v>152</v>
      </c>
      <c r="F102" s="66" t="s">
        <v>137</v>
      </c>
      <c r="G102" s="67">
        <v>46042</v>
      </c>
      <c r="H102" s="130">
        <v>46042</v>
      </c>
      <c r="I102" s="69">
        <v>725</v>
      </c>
      <c r="J102" s="70" t="s">
        <v>127</v>
      </c>
      <c r="K102" s="71">
        <f t="shared" si="12"/>
        <v>725</v>
      </c>
    </row>
    <row r="103" spans="1:11" ht="15.75" x14ac:dyDescent="0.25">
      <c r="A103" s="142" t="str">
        <f t="shared" si="10"/>
        <v>Assistencia12026</v>
      </c>
      <c r="B103" s="143" t="str">
        <f t="shared" si="11"/>
        <v>Assistencia46042</v>
      </c>
      <c r="C103" s="41" t="s">
        <v>15</v>
      </c>
      <c r="D103" s="144" t="s">
        <v>61</v>
      </c>
      <c r="E103" s="145" t="s">
        <v>153</v>
      </c>
      <c r="F103" s="43" t="s">
        <v>144</v>
      </c>
      <c r="G103" s="54">
        <v>46042</v>
      </c>
      <c r="H103" s="146">
        <v>46042</v>
      </c>
      <c r="I103" s="45">
        <v>500</v>
      </c>
      <c r="J103" s="46" t="s">
        <v>127</v>
      </c>
      <c r="K103" s="47">
        <f t="shared" si="12"/>
        <v>500</v>
      </c>
    </row>
    <row r="104" spans="1:11" ht="15.75" x14ac:dyDescent="0.25">
      <c r="A104" s="142" t="str">
        <f t="shared" si="10"/>
        <v>Assistencia12026</v>
      </c>
      <c r="B104" s="143" t="str">
        <f t="shared" si="11"/>
        <v>Assistencia46042</v>
      </c>
      <c r="C104" s="41" t="s">
        <v>24</v>
      </c>
      <c r="D104" s="144" t="s">
        <v>61</v>
      </c>
      <c r="E104" s="145" t="s">
        <v>154</v>
      </c>
      <c r="F104" s="43" t="s">
        <v>144</v>
      </c>
      <c r="G104" s="54">
        <v>46042</v>
      </c>
      <c r="H104" s="146">
        <v>46042</v>
      </c>
      <c r="I104" s="45">
        <v>730</v>
      </c>
      <c r="J104" s="46" t="s">
        <v>127</v>
      </c>
      <c r="K104" s="47">
        <f t="shared" si="12"/>
        <v>730</v>
      </c>
    </row>
    <row r="105" spans="1:11" ht="15.75" x14ac:dyDescent="0.25">
      <c r="A105" s="142" t="str">
        <f t="shared" si="10"/>
        <v>Assistencia12026</v>
      </c>
      <c r="B105" s="143" t="str">
        <f t="shared" si="11"/>
        <v>Assistencia46042</v>
      </c>
      <c r="C105" s="41" t="s">
        <v>19</v>
      </c>
      <c r="D105" s="144" t="s">
        <v>61</v>
      </c>
      <c r="E105" s="145" t="s">
        <v>155</v>
      </c>
      <c r="F105" s="43" t="s">
        <v>156</v>
      </c>
      <c r="G105" s="54">
        <v>46042</v>
      </c>
      <c r="H105" s="146">
        <v>46042</v>
      </c>
      <c r="I105" s="45">
        <v>718.96</v>
      </c>
      <c r="J105" s="46" t="s">
        <v>127</v>
      </c>
      <c r="K105" s="47">
        <f t="shared" si="12"/>
        <v>718.96</v>
      </c>
    </row>
    <row r="106" spans="1:11" ht="15.75" x14ac:dyDescent="0.25">
      <c r="A106" s="142" t="str">
        <f t="shared" si="10"/>
        <v>Assistencia12026</v>
      </c>
      <c r="B106" s="143" t="str">
        <f t="shared" si="11"/>
        <v>Assistencia46043</v>
      </c>
      <c r="C106" s="41" t="s">
        <v>40</v>
      </c>
      <c r="D106" s="144" t="s">
        <v>61</v>
      </c>
      <c r="E106" s="145" t="s">
        <v>157</v>
      </c>
      <c r="F106" s="43" t="s">
        <v>12</v>
      </c>
      <c r="G106" s="54">
        <v>46043</v>
      </c>
      <c r="H106" s="146">
        <v>46043</v>
      </c>
      <c r="I106" s="45">
        <v>300</v>
      </c>
      <c r="J106" s="46" t="s">
        <v>127</v>
      </c>
      <c r="K106" s="47">
        <f t="shared" si="12"/>
        <v>300</v>
      </c>
    </row>
    <row r="107" spans="1:11" ht="15.75" x14ac:dyDescent="0.25">
      <c r="A107" s="126" t="str">
        <f t="shared" si="10"/>
        <v>Assistencia12026</v>
      </c>
      <c r="B107" s="127" t="str">
        <f t="shared" si="11"/>
        <v>Assistencia46044</v>
      </c>
      <c r="C107" s="64" t="s">
        <v>47</v>
      </c>
      <c r="D107" s="128" t="s">
        <v>61</v>
      </c>
      <c r="E107" s="129" t="s">
        <v>158</v>
      </c>
      <c r="F107" s="66" t="s">
        <v>156</v>
      </c>
      <c r="G107" s="67">
        <v>46044</v>
      </c>
      <c r="H107" s="130">
        <v>46044</v>
      </c>
      <c r="I107" s="69">
        <v>3207.48</v>
      </c>
      <c r="J107" s="70" t="s">
        <v>127</v>
      </c>
      <c r="K107" s="71">
        <f t="shared" si="12"/>
        <v>3207.48</v>
      </c>
    </row>
    <row r="108" spans="1:11" ht="15.75" x14ac:dyDescent="0.25">
      <c r="A108" s="142" t="str">
        <f t="shared" si="10"/>
        <v>Assistencia12026</v>
      </c>
      <c r="B108" s="143" t="str">
        <f t="shared" si="11"/>
        <v>Assistencia46041</v>
      </c>
      <c r="C108" s="41" t="s">
        <v>159</v>
      </c>
      <c r="D108" s="144" t="s">
        <v>61</v>
      </c>
      <c r="E108" s="145" t="s">
        <v>160</v>
      </c>
      <c r="F108" s="43" t="s">
        <v>12</v>
      </c>
      <c r="G108" s="54">
        <v>46041</v>
      </c>
      <c r="H108" s="146">
        <v>46041</v>
      </c>
      <c r="I108" s="45">
        <v>450</v>
      </c>
      <c r="J108" s="46"/>
      <c r="K108" s="47">
        <f t="shared" si="12"/>
        <v>450</v>
      </c>
    </row>
    <row r="109" spans="1:11" ht="15.75" x14ac:dyDescent="0.25">
      <c r="A109" s="126" t="str">
        <f t="shared" si="10"/>
        <v>Assistencia12026</v>
      </c>
      <c r="B109" s="127" t="str">
        <f t="shared" si="11"/>
        <v>Assistencia46027</v>
      </c>
      <c r="C109" s="64" t="s">
        <v>161</v>
      </c>
      <c r="D109" s="128" t="s">
        <v>61</v>
      </c>
      <c r="E109" s="129" t="s">
        <v>160</v>
      </c>
      <c r="F109" s="66" t="s">
        <v>12</v>
      </c>
      <c r="G109" s="67">
        <v>46027</v>
      </c>
      <c r="H109" s="130">
        <v>46027</v>
      </c>
      <c r="I109" s="69">
        <v>70</v>
      </c>
      <c r="J109" s="70"/>
      <c r="K109" s="71">
        <f t="shared" si="12"/>
        <v>70</v>
      </c>
    </row>
    <row r="110" spans="1:11" ht="15.75" x14ac:dyDescent="0.25">
      <c r="A110" s="126" t="str">
        <f t="shared" si="10"/>
        <v>Assistencia12026</v>
      </c>
      <c r="B110" s="127" t="str">
        <f t="shared" si="11"/>
        <v>Assistencia46030</v>
      </c>
      <c r="C110" s="64" t="s">
        <v>162</v>
      </c>
      <c r="D110" s="128" t="s">
        <v>61</v>
      </c>
      <c r="E110" s="129" t="s">
        <v>160</v>
      </c>
      <c r="F110" s="66" t="s">
        <v>163</v>
      </c>
      <c r="G110" s="67">
        <v>46030</v>
      </c>
      <c r="H110" s="130">
        <v>46030</v>
      </c>
      <c r="I110" s="69">
        <v>1500</v>
      </c>
      <c r="J110" s="70"/>
      <c r="K110" s="71">
        <f t="shared" si="12"/>
        <v>1500</v>
      </c>
    </row>
    <row r="111" spans="1:11" ht="15.75" x14ac:dyDescent="0.25">
      <c r="A111" s="126" t="str">
        <f t="shared" si="10"/>
        <v>Assistencia12026</v>
      </c>
      <c r="B111" s="127" t="str">
        <f t="shared" si="11"/>
        <v>Assistencia46034</v>
      </c>
      <c r="C111" s="64" t="s">
        <v>164</v>
      </c>
      <c r="D111" s="128" t="s">
        <v>61</v>
      </c>
      <c r="E111" s="129" t="s">
        <v>160</v>
      </c>
      <c r="F111" s="66" t="s">
        <v>165</v>
      </c>
      <c r="G111" s="67">
        <v>46034</v>
      </c>
      <c r="H111" s="130">
        <v>46034</v>
      </c>
      <c r="I111" s="69">
        <v>1500</v>
      </c>
      <c r="J111" s="70"/>
      <c r="K111" s="71">
        <f t="shared" si="12"/>
        <v>1500</v>
      </c>
    </row>
    <row r="112" spans="1:11" ht="15.75" x14ac:dyDescent="0.25">
      <c r="A112" s="126" t="str">
        <f t="shared" si="10"/>
        <v>Assistencia12026</v>
      </c>
      <c r="B112" s="127" t="str">
        <f t="shared" si="11"/>
        <v>Assistencia46045</v>
      </c>
      <c r="C112" s="64" t="s">
        <v>166</v>
      </c>
      <c r="D112" s="128" t="s">
        <v>61</v>
      </c>
      <c r="E112" s="129" t="s">
        <v>160</v>
      </c>
      <c r="F112" s="66" t="s">
        <v>12</v>
      </c>
      <c r="G112" s="67">
        <v>46045</v>
      </c>
      <c r="H112" s="130">
        <v>46045</v>
      </c>
      <c r="I112" s="69">
        <v>4600</v>
      </c>
      <c r="J112" s="70"/>
      <c r="K112" s="71">
        <f t="shared" si="12"/>
        <v>4600</v>
      </c>
    </row>
    <row r="113" spans="1:11" ht="14.25" customHeight="1" x14ac:dyDescent="0.25">
      <c r="A113" s="126" t="str">
        <f t="shared" si="10"/>
        <v>Assistencia12026</v>
      </c>
      <c r="B113" s="127" t="str">
        <f t="shared" si="11"/>
        <v>Assistencia46037</v>
      </c>
      <c r="C113" s="64" t="s">
        <v>167</v>
      </c>
      <c r="D113" s="128" t="s">
        <v>61</v>
      </c>
      <c r="E113" s="129" t="s">
        <v>160</v>
      </c>
      <c r="F113" s="66" t="s">
        <v>112</v>
      </c>
      <c r="G113" s="67">
        <v>46037</v>
      </c>
      <c r="H113" s="130">
        <v>46037</v>
      </c>
      <c r="I113" s="69">
        <v>1750</v>
      </c>
      <c r="J113" s="70"/>
      <c r="K113" s="71">
        <f t="shared" si="12"/>
        <v>1750</v>
      </c>
    </row>
    <row r="114" spans="1:11" ht="15.75" x14ac:dyDescent="0.25">
      <c r="A114" s="126" t="str">
        <f t="shared" si="10"/>
        <v>Assistencia12026</v>
      </c>
      <c r="B114" s="127" t="str">
        <f t="shared" si="11"/>
        <v>Assistencia46038</v>
      </c>
      <c r="C114" s="64" t="s">
        <v>168</v>
      </c>
      <c r="D114" s="128" t="s">
        <v>61</v>
      </c>
      <c r="E114" s="129" t="s">
        <v>160</v>
      </c>
      <c r="F114" s="66" t="s">
        <v>12</v>
      </c>
      <c r="G114" s="67">
        <v>46038</v>
      </c>
      <c r="H114" s="130">
        <v>46038</v>
      </c>
      <c r="I114" s="69">
        <v>200</v>
      </c>
      <c r="J114" s="70"/>
      <c r="K114" s="71">
        <f t="shared" si="12"/>
        <v>200</v>
      </c>
    </row>
    <row r="115" spans="1:11" ht="15.75" x14ac:dyDescent="0.25">
      <c r="A115" s="126" t="str">
        <f t="shared" si="10"/>
        <v>Assistencia12026</v>
      </c>
      <c r="B115" s="127" t="str">
        <f t="shared" si="11"/>
        <v>Assistencia46038</v>
      </c>
      <c r="C115" s="64" t="s">
        <v>169</v>
      </c>
      <c r="D115" s="128" t="s">
        <v>61</v>
      </c>
      <c r="E115" s="129" t="s">
        <v>160</v>
      </c>
      <c r="F115" s="66" t="s">
        <v>12</v>
      </c>
      <c r="G115" s="67">
        <v>46038</v>
      </c>
      <c r="H115" s="130">
        <v>46038</v>
      </c>
      <c r="I115" s="69">
        <v>750</v>
      </c>
      <c r="J115" s="70"/>
      <c r="K115" s="71">
        <f t="shared" si="12"/>
        <v>750</v>
      </c>
    </row>
    <row r="116" spans="1:11" ht="15.75" x14ac:dyDescent="0.25">
      <c r="A116" s="126" t="str">
        <f t="shared" si="10"/>
        <v>Assistencia12026</v>
      </c>
      <c r="B116" s="127" t="str">
        <f t="shared" si="11"/>
        <v>Assistencia46045</v>
      </c>
      <c r="C116" s="64" t="s">
        <v>169</v>
      </c>
      <c r="D116" s="128" t="s">
        <v>61</v>
      </c>
      <c r="E116" s="129" t="s">
        <v>160</v>
      </c>
      <c r="F116" s="66" t="s">
        <v>12</v>
      </c>
      <c r="G116" s="67">
        <v>46045</v>
      </c>
      <c r="H116" s="130">
        <v>46045</v>
      </c>
      <c r="I116" s="69">
        <v>1050</v>
      </c>
      <c r="J116" s="70"/>
      <c r="K116" s="71">
        <f t="shared" si="12"/>
        <v>1050</v>
      </c>
    </row>
    <row r="117" spans="1:11" ht="15.75" x14ac:dyDescent="0.25">
      <c r="A117" s="126" t="str">
        <f t="shared" si="10"/>
        <v>Assistencia12026</v>
      </c>
      <c r="B117" s="127" t="str">
        <f t="shared" si="11"/>
        <v>Assistencia46041</v>
      </c>
      <c r="C117" s="64" t="s">
        <v>170</v>
      </c>
      <c r="D117" s="128" t="s">
        <v>61</v>
      </c>
      <c r="E117" s="129" t="s">
        <v>160</v>
      </c>
      <c r="F117" s="66" t="s">
        <v>12</v>
      </c>
      <c r="G117" s="67">
        <v>46041</v>
      </c>
      <c r="H117" s="130">
        <v>46041</v>
      </c>
      <c r="I117" s="69">
        <v>350</v>
      </c>
      <c r="J117" s="70"/>
      <c r="K117" s="71">
        <f t="shared" si="12"/>
        <v>350</v>
      </c>
    </row>
    <row r="118" spans="1:11" ht="15.75" x14ac:dyDescent="0.25">
      <c r="A118" s="126" t="str">
        <f t="shared" si="10"/>
        <v>Assistencia12026</v>
      </c>
      <c r="B118" s="127" t="str">
        <f t="shared" si="11"/>
        <v>Assistencia46045</v>
      </c>
      <c r="C118" s="64" t="s">
        <v>171</v>
      </c>
      <c r="D118" s="128" t="s">
        <v>61</v>
      </c>
      <c r="E118" s="129" t="s">
        <v>160</v>
      </c>
      <c r="F118" s="66" t="s">
        <v>12</v>
      </c>
      <c r="G118" s="67">
        <v>46045</v>
      </c>
      <c r="H118" s="130">
        <v>46045</v>
      </c>
      <c r="I118" s="69">
        <v>140</v>
      </c>
      <c r="J118" s="70"/>
      <c r="K118" s="71">
        <f t="shared" si="12"/>
        <v>140</v>
      </c>
    </row>
    <row r="119" spans="1:11" ht="16.5" customHeight="1" x14ac:dyDescent="0.25">
      <c r="A119" s="126" t="str">
        <f t="shared" si="10"/>
        <v>Assistencia12026</v>
      </c>
      <c r="B119" s="127" t="str">
        <f t="shared" si="11"/>
        <v>Assistencia46045</v>
      </c>
      <c r="C119" s="64" t="s">
        <v>172</v>
      </c>
      <c r="D119" s="128" t="s">
        <v>61</v>
      </c>
      <c r="E119" s="129" t="s">
        <v>160</v>
      </c>
      <c r="F119" s="66" t="s">
        <v>12</v>
      </c>
      <c r="G119" s="67">
        <v>46045</v>
      </c>
      <c r="H119" s="130">
        <v>46045</v>
      </c>
      <c r="I119" s="69">
        <v>70</v>
      </c>
      <c r="J119" s="70"/>
      <c r="K119" s="71">
        <f t="shared" si="12"/>
        <v>70</v>
      </c>
    </row>
    <row r="120" spans="1:11" ht="15.75" x14ac:dyDescent="0.25">
      <c r="A120" s="126" t="str">
        <f t="shared" ref="A120:A124" si="16">CONCATENATE(D120,MONTH(G120),YEAR(G120))</f>
        <v>Assistencia12026</v>
      </c>
      <c r="B120" s="127" t="str">
        <f t="shared" ref="B120:B124" si="17">CONCATENATE(D120,G120)</f>
        <v>Assistencia46049</v>
      </c>
      <c r="C120" s="64" t="s">
        <v>173</v>
      </c>
      <c r="D120" s="128" t="s">
        <v>61</v>
      </c>
      <c r="E120" s="129" t="s">
        <v>160</v>
      </c>
      <c r="F120" s="66" t="s">
        <v>12</v>
      </c>
      <c r="G120" s="67">
        <v>46049</v>
      </c>
      <c r="H120" s="130">
        <v>46049</v>
      </c>
      <c r="I120" s="69">
        <v>70</v>
      </c>
      <c r="J120" s="70"/>
      <c r="K120" s="71">
        <f t="shared" ref="K120:K124" si="18">IF(J120="x",,I120)</f>
        <v>70</v>
      </c>
    </row>
    <row r="121" spans="1:11" ht="15.75" x14ac:dyDescent="0.25">
      <c r="A121" s="126" t="str">
        <f t="shared" si="16"/>
        <v>Assistencia12026</v>
      </c>
      <c r="B121" s="127" t="str">
        <f t="shared" si="17"/>
        <v>Assistencia46049</v>
      </c>
      <c r="C121" s="64" t="s">
        <v>174</v>
      </c>
      <c r="D121" s="128" t="s">
        <v>61</v>
      </c>
      <c r="E121" s="129" t="s">
        <v>160</v>
      </c>
      <c r="F121" s="66" t="s">
        <v>12</v>
      </c>
      <c r="G121" s="67">
        <v>46049</v>
      </c>
      <c r="H121" s="130">
        <v>46049</v>
      </c>
      <c r="I121" s="69">
        <v>70</v>
      </c>
      <c r="J121" s="70"/>
      <c r="K121" s="71">
        <f t="shared" si="18"/>
        <v>70</v>
      </c>
    </row>
    <row r="122" spans="1:11" ht="15.75" x14ac:dyDescent="0.25">
      <c r="A122" s="126" t="str">
        <f t="shared" si="16"/>
        <v>Assistencia12026</v>
      </c>
      <c r="B122" s="127" t="str">
        <f t="shared" si="17"/>
        <v>Assistencia46049</v>
      </c>
      <c r="C122" s="64" t="s">
        <v>175</v>
      </c>
      <c r="D122" s="128" t="s">
        <v>61</v>
      </c>
      <c r="E122" s="129" t="s">
        <v>160</v>
      </c>
      <c r="F122" s="66" t="s">
        <v>12</v>
      </c>
      <c r="G122" s="67">
        <v>46049</v>
      </c>
      <c r="H122" s="130">
        <v>46049</v>
      </c>
      <c r="I122" s="69">
        <v>70</v>
      </c>
      <c r="J122" s="70"/>
      <c r="K122" s="71">
        <f t="shared" si="18"/>
        <v>70</v>
      </c>
    </row>
    <row r="123" spans="1:11" ht="16.5" thickBot="1" x14ac:dyDescent="0.3">
      <c r="A123" s="152" t="str">
        <f t="shared" si="16"/>
        <v>Assistencia12026</v>
      </c>
      <c r="B123" s="153" t="str">
        <f t="shared" si="17"/>
        <v>Assistencia46050</v>
      </c>
      <c r="C123" s="154" t="s">
        <v>176</v>
      </c>
      <c r="D123" s="155" t="s">
        <v>61</v>
      </c>
      <c r="E123" s="156" t="s">
        <v>160</v>
      </c>
      <c r="F123" s="157" t="s">
        <v>12</v>
      </c>
      <c r="G123" s="158">
        <v>46050</v>
      </c>
      <c r="H123" s="159">
        <v>46050</v>
      </c>
      <c r="I123" s="160">
        <v>100</v>
      </c>
      <c r="J123" s="161"/>
      <c r="K123" s="162">
        <f>IF(J124="x",,I123)</f>
        <v>100</v>
      </c>
    </row>
    <row r="124" spans="1:11" ht="15.75" customHeight="1" x14ac:dyDescent="0.3">
      <c r="A124" s="83"/>
      <c r="B124" s="84"/>
      <c r="C124" s="163"/>
      <c r="D124" s="86"/>
      <c r="E124" s="87"/>
      <c r="F124" s="88"/>
      <c r="G124" s="89"/>
      <c r="H124" s="164"/>
      <c r="I124" s="165">
        <f>SUM(I54:I123)</f>
        <v>50598.130000000012</v>
      </c>
      <c r="J124" s="166"/>
      <c r="K124" s="167"/>
    </row>
  </sheetData>
  <mergeCells count="2">
    <mergeCell ref="A1:K1"/>
    <mergeCell ref="A51:K51"/>
  </mergeCells>
  <dataValidations count="1">
    <dataValidation type="list" allowBlank="1" showInputMessage="1" showErrorMessage="1" sqref="D2:D50 D52:D124" xr:uid="{A7FE9364-B7F7-4507-9705-DD000ABD5D4B}">
      <formula1>rod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2026-05-26T19:37:08Z</dcterms:created>
  <dcterms:modified xsi:type="dcterms:W3CDTF">2026-05-26T19:41:06Z</dcterms:modified>
</cp:coreProperties>
</file>